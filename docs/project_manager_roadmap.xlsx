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Roadmap" sheetId="2" r:id="rId6"/>
    <sheet state="visible" name="Experiments" sheetId="3" r:id="rId7"/>
    <sheet state="visible" name="Metrics" sheetId="4" r:id="rId8"/>
    <sheet state="visible" name="Risks" sheetId="5" r:id="rId9"/>
    <sheet state="visible" name="Deliverables" sheetId="6" r:id="rId10"/>
    <sheet state="visible" name="Lists" sheetId="7" r:id="rId11"/>
    <sheet state="visible" name="Sources" sheetId="8" r:id="rId12"/>
  </sheets>
  <definedNames/>
  <calcPr/>
</workbook>
</file>

<file path=xl/sharedStrings.xml><?xml version="1.0" encoding="utf-8"?>
<sst xmlns="http://schemas.openxmlformats.org/spreadsheetml/2006/main" count="609" uniqueCount="349">
  <si>
    <t>Credit Foundation Model - 60 Day Roadmap</t>
  </si>
  <si>
    <t>Objective</t>
  </si>
  <si>
    <t>Build a credit-data-specific foundation model based on NVIDIA transaction-foundation-model blueprint</t>
  </si>
  <si>
    <t>Compute Window</t>
  </si>
  <si>
    <t>60 days</t>
  </si>
  <si>
    <t>Available Hardware</t>
  </si>
  <si>
    <t>8x NVIDIA H100, 640GB VRAM total</t>
  </si>
  <si>
    <t>Primary Success Metric</t>
  </si>
  <si>
    <t>Measurable lift from self-supervised credit embeddings vs raw-feature baselines</t>
  </si>
  <si>
    <t>Recommended Main Model</t>
  </si>
  <si>
    <t>Credit-TFM-M, 100M-250M parameters, 4k-8k context</t>
  </si>
  <si>
    <t>Primary Downstream Tasks</t>
  </si>
  <si>
    <t>Default / delinquency, prepayment, cure, segmentation, anomaly detection</t>
  </si>
  <si>
    <t>Definition of Done</t>
  </si>
  <si>
    <t>Tokenizer, trained checkpoint, embedding pipeline, downstream benchmark, leakage audit, model/data cards</t>
  </si>
  <si>
    <t>Phase</t>
  </si>
  <si>
    <t>Days</t>
  </si>
  <si>
    <t>Focus</t>
  </si>
  <si>
    <t>Primary Deliverables</t>
  </si>
  <si>
    <t>Exit Criteria</t>
  </si>
  <si>
    <t>Owner</t>
  </si>
  <si>
    <t>Status</t>
  </si>
  <si>
    <t>Notes</t>
  </si>
  <si>
    <t>0</t>
  </si>
  <si>
    <t>1-2</t>
  </si>
  <si>
    <t>Setup and decision log</t>
  </si>
  <si>
    <t>Repo fork, experiment tracking, data dictionary, model card template</t>
  </si>
  <si>
    <t>Environment reproducible and objective confirmed</t>
  </si>
  <si>
    <t>Not Started</t>
  </si>
  <si>
    <t>1</t>
  </si>
  <si>
    <t>3-8</t>
  </si>
  <si>
    <t>Credit event schema</t>
  </si>
  <si>
    <t>Canonical event schema, leakage inventory, temporal split design</t>
  </si>
  <si>
    <t>Approved observation-time field list and train/val/test split</t>
  </si>
  <si>
    <t>2</t>
  </si>
  <si>
    <t>9-14</t>
  </si>
  <si>
    <t>Baselines</t>
  </si>
  <si>
    <t>XGBoost/LightGBM/logistic baselines, metrics table, DQ report</t>
  </si>
  <si>
    <t>Strong baseline and trustworthy labels</t>
  </si>
  <si>
    <t>3</t>
  </si>
  <si>
    <t>15-22</t>
  </si>
  <si>
    <t>Credit tokenizer v1</t>
  </si>
  <si>
    <t>Tokenizer config, vocabulary, token reports, train/val/test corpora</t>
  </si>
  <si>
    <t>95-99% sequences fit chosen context or windowing policy defined</t>
  </si>
  <si>
    <t>4</t>
  </si>
  <si>
    <t>23-34</t>
  </si>
  <si>
    <t>Pretraining scale-up</t>
  </si>
  <si>
    <t>30M, 100M-250M checkpoints, loss curves, GPU utilization report</t>
  </si>
  <si>
    <t>Stable training and validation loss; candidate checkpoint selected</t>
  </si>
  <si>
    <t>5</t>
  </si>
  <si>
    <t>35-43</t>
  </si>
  <si>
    <t>Embedding extraction and downstream eval</t>
  </si>
  <si>
    <t>Embedding parquet, downstream benchmarks, comparison dashboard</t>
  </si>
  <si>
    <t>Embeddings show lift or clear failure diagnosis</t>
  </si>
  <si>
    <t>6</t>
  </si>
  <si>
    <t>44-50</t>
  </si>
  <si>
    <t>Tokenizer v2 and ablations</t>
  </si>
  <si>
    <t>Ablation table, selected tokenizer, leakage audit</t>
  </si>
  <si>
    <t>Final tokenizer/model candidate selected</t>
  </si>
  <si>
    <t>7</t>
  </si>
  <si>
    <t>51-56</t>
  </si>
  <si>
    <t>Prototype productization</t>
  </si>
  <si>
    <t>Batch embedding pipeline, scoring pipeline, demo portfolio report</t>
  </si>
  <si>
    <t>Repeatable commands for train/infer/score</t>
  </si>
  <si>
    <t>8</t>
  </si>
  <si>
    <t>57-60</t>
  </si>
  <si>
    <t>Final validation and handoff</t>
  </si>
  <si>
    <t>Technical report, model card, data card, demo, v2 roadmap</t>
  </si>
  <si>
    <t>Handoff package complete</t>
  </si>
  <si>
    <t>Start Day</t>
  </si>
  <si>
    <t>End Day</t>
  </si>
  <si>
    <t>Workstream</t>
  </si>
  <si>
    <t>Task</t>
  </si>
  <si>
    <t>Deliverable</t>
  </si>
  <si>
    <t>Dependency</t>
  </si>
  <si>
    <t>Priority</t>
  </si>
  <si>
    <t>Evidence / Link</t>
  </si>
  <si>
    <t>Project Mgmt</t>
  </si>
  <si>
    <t>Fork blueprint repo and create internal project repo</t>
  </si>
  <si>
    <t>credit-foundation-model repo</t>
  </si>
  <si>
    <t>High</t>
  </si>
  <si>
    <t>Infrastructure</t>
  </si>
  <si>
    <t>Provision H100 environment and validate 8-GPU torchrun</t>
  </si>
  <si>
    <t>GPU smoke-test log</t>
  </si>
  <si>
    <t>MLOps</t>
  </si>
  <si>
    <t>Set up experiment tracking and checkpoint storage</t>
  </si>
  <si>
    <t>Tracking dashboard / artifact paths</t>
  </si>
  <si>
    <t>Governance</t>
  </si>
  <si>
    <t>Create model card, data card, and decision-log templates</t>
  </si>
  <si>
    <t>Templates in reports/</t>
  </si>
  <si>
    <t>Medium</t>
  </si>
  <si>
    <t>Data Engineering</t>
  </si>
  <si>
    <t>Inventory credit datasets and fields</t>
  </si>
  <si>
    <t>Data inventory and field ownership map</t>
  </si>
  <si>
    <t>Repo setup</t>
  </si>
  <si>
    <t>Define canonical entity hierarchy: borrower, loan, observation</t>
  </si>
  <si>
    <t>Credit entity schema</t>
  </si>
  <si>
    <t>Data inventory</t>
  </si>
  <si>
    <t>Risk / Data</t>
  </si>
  <si>
    <t>Define event taxonomy: observation, payment, delinquency, default, cure, prepayment, restructuring</t>
  </si>
  <si>
    <t>credit_event_schema.md</t>
  </si>
  <si>
    <t>Entity schema</t>
  </si>
  <si>
    <t>Build observation-time leakage inventory</t>
  </si>
  <si>
    <t>Leakage audit v0</t>
  </si>
  <si>
    <t>Field inventory</t>
  </si>
  <si>
    <t>Data Science</t>
  </si>
  <si>
    <t>Design temporal train / validation / test split</t>
  </si>
  <si>
    <t>Split design document</t>
  </si>
  <si>
    <t>Build raw-feature baseline dataset by observation date</t>
  </si>
  <si>
    <t>Baseline modeling table</t>
  </si>
  <si>
    <t>Split design</t>
  </si>
  <si>
    <t>Train logistic regression, XGBoost / LightGBM baselines</t>
  </si>
  <si>
    <t>Baseline metrics table</t>
  </si>
  <si>
    <t>Baseline dataset</t>
  </si>
  <si>
    <t>Validation</t>
  </si>
  <si>
    <t>Evaluate ROC-AUC, PR-AUC, KS, Gini, calibration, lift@K</t>
  </si>
  <si>
    <t>Baseline evaluation report</t>
  </si>
  <si>
    <t>Baseline models</t>
  </si>
  <si>
    <t>Review labels, leakage, and baseline quality</t>
  </si>
  <si>
    <t>Go / no-go decision</t>
  </si>
  <si>
    <t>Evaluation report</t>
  </si>
  <si>
    <t>Tokenizer</t>
  </si>
  <si>
    <t>Implement categorical, numeric bucket, temporal, and event token classes</t>
  </si>
  <si>
    <t>credit_tokenizer.py</t>
  </si>
  <si>
    <t>Event schema</t>
  </si>
  <si>
    <t>Create credit tokenizer configuration and bucket definitions</t>
  </si>
  <si>
    <t>credit_tokenizer.yaml</t>
  </si>
  <si>
    <t>Leakage audit</t>
  </si>
  <si>
    <t>Generate train / validation / test decoder corpus files</t>
  </si>
  <si>
    <t>Corpus text files</t>
  </si>
  <si>
    <t>Tokenizer v1</t>
  </si>
  <si>
    <t>Produce token frequency, rare-token, OOV, and sequence length reports</t>
  </si>
  <si>
    <t>Tokenizer QA report</t>
  </si>
  <si>
    <t>Corpus files</t>
  </si>
  <si>
    <t>Training</t>
  </si>
  <si>
    <t>Run 1-GPU smoke test for 1k-5k steps</t>
  </si>
  <si>
    <t>Smoke-test checkpoint and logs</t>
  </si>
  <si>
    <t>Train Credit-TFM-S around 30M parameters on 8 GPUs</t>
  </si>
  <si>
    <t>Small checkpoint</t>
  </si>
  <si>
    <t>Smoke test</t>
  </si>
  <si>
    <t>Train Credit-TFM-M around 100M-250M parameters</t>
  </si>
  <si>
    <t>Medium checkpoint</t>
  </si>
  <si>
    <t>Run context length comparison: 2k, 4k, 8k</t>
  </si>
  <si>
    <t>Context ablation results</t>
  </si>
  <si>
    <t>Medium config</t>
  </si>
  <si>
    <t>Summarize loss, perplexity, throughput, utilization</t>
  </si>
  <si>
    <t>Training report</t>
  </si>
  <si>
    <t>Training runs</t>
  </si>
  <si>
    <t>Inference</t>
  </si>
  <si>
    <t>Extract embeddings using last-token, mean, event-anchor, and window pooling</t>
  </si>
  <si>
    <t>Embedding parquet files</t>
  </si>
  <si>
    <t>Candidate checkpoints</t>
  </si>
  <si>
    <t>Train downstream models using embeddings only and raw+embeddings</t>
  </si>
  <si>
    <t>Downstream model artifacts</t>
  </si>
  <si>
    <t>Embedding files</t>
  </si>
  <si>
    <t>Compare lift, calibration, stability by vintage and segment</t>
  </si>
  <si>
    <t>Embedding lift report</t>
  </si>
  <si>
    <t>Downstream models</t>
  </si>
  <si>
    <t>Run tokenizer ablations: quantile vs domain buckets, macro/no macro, collateral/no collateral</t>
  </si>
  <si>
    <t>Tokenizer ablation table</t>
  </si>
  <si>
    <t>Run model ablations: 30M vs 100M vs 250M, 4k vs 8k context</t>
  </si>
  <si>
    <t>Model ablation table</t>
  </si>
  <si>
    <t>Tokenizer variants</t>
  </si>
  <si>
    <t>Complete leakage audit and select final model/tokenizer</t>
  </si>
  <si>
    <t>Final selection memo</t>
  </si>
  <si>
    <t>Ablations</t>
  </si>
  <si>
    <t>Engineering</t>
  </si>
  <si>
    <t>Convert notebooks into scripts for corpus build, train, extract, score</t>
  </si>
  <si>
    <t>scripts/ directory</t>
  </si>
  <si>
    <t>Final selection</t>
  </si>
  <si>
    <t>Build monthly batch embedding pipeline</t>
  </si>
  <si>
    <t>Batch inference pipeline</t>
  </si>
  <si>
    <t>Scripts</t>
  </si>
  <si>
    <t>Product</t>
  </si>
  <si>
    <t>Create portfolio scoring demo and example output</t>
  </si>
  <si>
    <t>Demo report</t>
  </si>
  <si>
    <t>Scoring pipeline</t>
  </si>
  <si>
    <t>Finalize benchmark evidence and limitations</t>
  </si>
  <si>
    <t>Technical report</t>
  </si>
  <si>
    <t>All results</t>
  </si>
  <si>
    <t>Finalize model card and data card</t>
  </si>
  <si>
    <t>model_card.md and data_card.md</t>
  </si>
  <si>
    <t>Package handoff and v2 roadmap</t>
  </si>
  <si>
    <t>Final handoff pack</t>
  </si>
  <si>
    <t>Model/data cards</t>
  </si>
  <si>
    <t>Experiment ID</t>
  </si>
  <si>
    <t>Model</t>
  </si>
  <si>
    <t>Approx Params</t>
  </si>
  <si>
    <t>Context</t>
  </si>
  <si>
    <t>Pooling / Evaluation</t>
  </si>
  <si>
    <t>Purpose</t>
  </si>
  <si>
    <t>Success Criteria</t>
  </si>
  <si>
    <t>E1</t>
  </si>
  <si>
    <t>23-24</t>
  </si>
  <si>
    <t>Credit-TFM-S</t>
  </si>
  <si>
    <t>~30M</t>
  </si>
  <si>
    <t>2,048</t>
  </si>
  <si>
    <t>v1</t>
  </si>
  <si>
    <t>N/A</t>
  </si>
  <si>
    <t>Pipeline validation</t>
  </si>
  <si>
    <t>Loss decreases; no tokenizer bugs</t>
  </si>
  <si>
    <t>E2</t>
  </si>
  <si>
    <t>25-27</t>
  </si>
  <si>
    <t>4,096</t>
  </si>
  <si>
    <t>Last-token</t>
  </si>
  <si>
    <t>Baseline embedding</t>
  </si>
  <si>
    <t>Embeddings usable in downstream models</t>
  </si>
  <si>
    <t>E3</t>
  </si>
  <si>
    <t>28-31</t>
  </si>
  <si>
    <t>Credit-TFM-M</t>
  </si>
  <si>
    <t>100M-250M</t>
  </si>
  <si>
    <t>Last-token + mean</t>
  </si>
  <si>
    <t>Main candidate</t>
  </si>
  <si>
    <t>Lift vs raw-feature baseline</t>
  </si>
  <si>
    <t>E4</t>
  </si>
  <si>
    <t>30-34</t>
  </si>
  <si>
    <t>8,192</t>
  </si>
  <si>
    <t>Last-token + event-anchor</t>
  </si>
  <si>
    <t>Long-history test</t>
  </si>
  <si>
    <t>Improved lift or justified context choice</t>
  </si>
  <si>
    <t>E5</t>
  </si>
  <si>
    <t>44-48</t>
  </si>
  <si>
    <t>v2</t>
  </si>
  <si>
    <t>Best pooling from Phase 5</t>
  </si>
  <si>
    <t>Tokenizer v2 test</t>
  </si>
  <si>
    <t>Improved metrics or simpler tokenizer</t>
  </si>
  <si>
    <t>E6</t>
  </si>
  <si>
    <t>46-50</t>
  </si>
  <si>
    <t>Credit-TFM-M/L</t>
  </si>
  <si>
    <t>250M-1B optional</t>
  </si>
  <si>
    <t>Best pooling</t>
  </si>
  <si>
    <t>Final candidate / stretch</t>
  </si>
  <si>
    <t>Best validation performance, no leakage</t>
  </si>
  <si>
    <t>Dataset Split</t>
  </si>
  <si>
    <t>Feature Set</t>
  </si>
  <si>
    <t>ROC-AUC</t>
  </si>
  <si>
    <t>PR-AUC</t>
  </si>
  <si>
    <t>KS</t>
  </si>
  <si>
    <t>Gini</t>
  </si>
  <si>
    <t>Brier</t>
  </si>
  <si>
    <t>Lift@5%</t>
  </si>
  <si>
    <t>Calibration Notes</t>
  </si>
  <si>
    <t>Run Link</t>
  </si>
  <si>
    <t>Default 3M</t>
  </si>
  <si>
    <t>Raw features</t>
  </si>
  <si>
    <t>XGBoost</t>
  </si>
  <si>
    <t>Embeddings only</t>
  </si>
  <si>
    <t>Raw + embeddings</t>
  </si>
  <si>
    <t>Default 6M</t>
  </si>
  <si>
    <t>Prepay 6M</t>
  </si>
  <si>
    <t>LightGBM</t>
  </si>
  <si>
    <t>Segmentation</t>
  </si>
  <si>
    <t>Clustering</t>
  </si>
  <si>
    <t>Risk ID</t>
  </si>
  <si>
    <t>Risk</t>
  </si>
  <si>
    <t>Severity</t>
  </si>
  <si>
    <t>Likelihood</t>
  </si>
  <si>
    <t>Mitigation</t>
  </si>
  <si>
    <t>Review Date</t>
  </si>
  <si>
    <t>R1</t>
  </si>
  <si>
    <t>Data leakage from future-state fields</t>
  </si>
  <si>
    <t>Observation-date feature store; field-level leakage inventory; temporal splits</t>
  </si>
  <si>
    <t>Open</t>
  </si>
  <si>
    <t>R2</t>
  </si>
  <si>
    <t>Weak baselines make foundation model lift misleading</t>
  </si>
  <si>
    <t>Use strong XGBoost/LightGBM baselines and calibration checks</t>
  </si>
  <si>
    <t>R3</t>
  </si>
  <si>
    <t>Tokenizer over-compresses or over-expands credit events</t>
  </si>
  <si>
    <t>Track sequence length, rare tokens, OOV, and run tokenizer ablations</t>
  </si>
  <si>
    <t>R4</t>
  </si>
  <si>
    <t>Overtraining / memorization on limited credit data</t>
  </si>
  <si>
    <t>Start with 30M-250M; scale only if data volume and validation justify it</t>
  </si>
  <si>
    <t>R5</t>
  </si>
  <si>
    <t>Embeddings improve ranking but hurt calibration</t>
  </si>
  <si>
    <t>Report calibration separately; recalibrate downstream models</t>
  </si>
  <si>
    <t>R6</t>
  </si>
  <si>
    <t>GPU time spent before dataset quality is proven</t>
  </si>
  <si>
    <t>Enforce Phase 2 go/no-go gate before large pretraining</t>
  </si>
  <si>
    <t>R7</t>
  </si>
  <si>
    <t>Context window truncates important long-horizon behavior</t>
  </si>
  <si>
    <t>Compare 2k/4k/8k and define windowing policy</t>
  </si>
  <si>
    <t>Target Day</t>
  </si>
  <si>
    <t>Artifact Type</t>
  </si>
  <si>
    <t>Acceptance Criteria</t>
  </si>
  <si>
    <t>Location / Link</t>
  </si>
  <si>
    <t>Markdown / YAML</t>
  </si>
  <si>
    <t>Events, entities, fields, and leakage exclusions documented</t>
  </si>
  <si>
    <t>docs/credit_event_schema.md</t>
  </si>
  <si>
    <t>Baseline benchmark report</t>
  </si>
  <si>
    <t>14</t>
  </si>
  <si>
    <t>Notebook / Report</t>
  </si>
  <si>
    <t>Includes ROC-AUC, PR-AUC, KS, Gini, calibration, lift@K</t>
  </si>
  <si>
    <t>reports/baseline_report.md</t>
  </si>
  <si>
    <t>22</t>
  </si>
  <si>
    <t>Python / YAML</t>
  </si>
  <si>
    <t>Tokenizer generates train/val/test corpora and QA reports</t>
  </si>
  <si>
    <t>src/tokenizer/credit_tokenizer.py</t>
  </si>
  <si>
    <t>Credit-TFM checkpoint</t>
  </si>
  <si>
    <t>34</t>
  </si>
  <si>
    <t>Model checkpoint</t>
  </si>
  <si>
    <t>Stable validation loss and selected candidate config</t>
  </si>
  <si>
    <t>checkpoints/</t>
  </si>
  <si>
    <t>Embedding extraction pipeline</t>
  </si>
  <si>
    <t>37</t>
  </si>
  <si>
    <t>Script / Notebook</t>
  </si>
  <si>
    <t>Produces embeddings for prediction points</t>
  </si>
  <si>
    <t>scripts/extract_credit_embeddings.py</t>
  </si>
  <si>
    <t>Downstream evaluation report</t>
  </si>
  <si>
    <t>43</t>
  </si>
  <si>
    <t>Report</t>
  </si>
  <si>
    <t>Compares raw, embeddings-only, raw+embeddings</t>
  </si>
  <si>
    <t>reports/downstream_eval.md</t>
  </si>
  <si>
    <t>Ablation memo</t>
  </si>
  <si>
    <t>50</t>
  </si>
  <si>
    <t>Documents tokenizer/model/pooling/context comparisons</t>
  </si>
  <si>
    <t>reports/ablation_memo.md</t>
  </si>
  <si>
    <t>Batch scoring pipeline</t>
  </si>
  <si>
    <t>56</t>
  </si>
  <si>
    <t>Repeatable monthly embedding and scoring pipeline</t>
  </si>
  <si>
    <t>scripts/score_credit_portfolio.py</t>
  </si>
  <si>
    <t>Model card and data card</t>
  </si>
  <si>
    <t>59</t>
  </si>
  <si>
    <t>Governance docs</t>
  </si>
  <si>
    <t>Intended use, limitations, data summary, risks</t>
  </si>
  <si>
    <t>reports/model_card.md; reports/data_card.md</t>
  </si>
  <si>
    <t>Final handoff package</t>
  </si>
  <si>
    <t>60</t>
  </si>
  <si>
    <t>Report / Demo</t>
  </si>
  <si>
    <t>Technical report, demo, and v2 roadmap complete</t>
  </si>
  <si>
    <t>reports/final_handoff/</t>
  </si>
  <si>
    <t>Critical</t>
  </si>
  <si>
    <t>In Progress</t>
  </si>
  <si>
    <t>Blocked</t>
  </si>
  <si>
    <t>Low</t>
  </si>
  <si>
    <t>Done</t>
  </si>
  <si>
    <t>Unknown</t>
  </si>
  <si>
    <t>Deferred</t>
  </si>
  <si>
    <t>Source</t>
  </si>
  <si>
    <t>Use</t>
  </si>
  <si>
    <t>URL</t>
  </si>
  <si>
    <t>NVIDIA AI Blueprint: Transaction Foundation Model</t>
  </si>
  <si>
    <t>Reference implementation and workflow</t>
  </si>
  <si>
    <t>https://github.com/NVIDIA-AI-Blueprints/transaction-foundation-model</t>
  </si>
  <si>
    <t>NVIDIA blueprint README</t>
  </si>
  <si>
    <t>Architecture, notebooks, tokenizer, embedding and evaluation workflow</t>
  </si>
  <si>
    <t>https://raw.githubusercontent.com/NVIDIA-AI-Blueprints/transaction-foundation-model/main/README.md</t>
  </si>
  <si>
    <t>NVIDIA pretrain config</t>
  </si>
  <si>
    <t>Multi-GPU training command and config reference</t>
  </si>
  <si>
    <t>https://raw.githubusercontent.com/NVIDIA-AI-Blueprints/transaction-foundation-model/main/configs/pretrain_financial_decoder.yaml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</si>
</sst>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6">
    <font>
      <sz val="11.0"/>
      <color rgb="FF000000"/>
      <name val="Carlito"/>
      <scheme val="minor"/>
    </font>
    <font>
      <b/>
      <sz val="16.0"/>
      <color rgb="FFFFFFFF"/>
      <name val="Carlito"/>
    </font>
    <font>
      <sz val="11.0"/>
      <color theme="1"/>
      <name val="Carlito"/>
    </font>
    <font>
      <b/>
      <sz val="11.0"/>
      <color theme="1"/>
      <name val="Carlito"/>
    </font>
    <font>
      <b/>
      <sz val="11.0"/>
      <color rgb="FFFFFFFF"/>
      <name val="Carlito"/>
    </font>
    <font>
      <color theme="1"/>
      <name val="Carlito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F172A"/>
        <bgColor rgb="FF0F172A"/>
      </patternFill>
    </fill>
    <fill>
      <patternFill patternType="solid">
        <fgColor rgb="FFE2F0D9"/>
        <bgColor rgb="FFE2F0D9"/>
      </patternFill>
    </fill>
    <fill>
      <patternFill patternType="solid">
        <fgColor rgb="FF1F4E78"/>
        <bgColor rgb="FF1F4E78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vertical="top"/>
    </xf>
    <xf borderId="0" fillId="0" fontId="2" numFmtId="0" xfId="0" applyAlignment="1" applyFont="1">
      <alignment vertical="top"/>
    </xf>
    <xf borderId="0" fillId="3" fontId="3" numFmtId="0" xfId="0" applyAlignment="1" applyFill="1" applyFont="1">
      <alignment shrinkToFit="0" wrapText="1"/>
    </xf>
    <xf borderId="0" fillId="0" fontId="2" numFmtId="0" xfId="0" applyAlignment="1" applyFont="1">
      <alignment shrinkToFit="0" wrapText="1"/>
    </xf>
    <xf borderId="0" fillId="4" fontId="4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0" fillId="4" fontId="4" numFmtId="0" xfId="0" applyAlignment="1" applyFont="1">
      <alignment horizontal="center" shrinkToFit="0" vertical="top" wrapText="1"/>
    </xf>
    <xf borderId="0" fillId="0" fontId="2" numFmtId="164" xfId="0" applyAlignment="1" applyFont="1" applyNumberFormat="1">
      <alignment shrinkToFit="0" wrapText="1"/>
    </xf>
    <xf borderId="0" fillId="4" fontId="4" numFmtId="0" xfId="0" applyAlignment="1" applyFont="1">
      <alignment horizontal="center" shrinkToFit="0" vertical="top" wrapText="1"/>
    </xf>
    <xf borderId="0" fillId="0" fontId="5" numFmtId="0" xfId="0" applyFont="1"/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FFEB9C"/>
          <bgColor rgb="FFFFEB9C"/>
        </patternFill>
      </fill>
      <border/>
    </dxf>
    <dxf>
      <font>
        <b/>
        <color rgb="FFFFFFFF"/>
      </font>
      <fill>
        <patternFill patternType="solid">
          <fgColor rgb="FFC00000"/>
          <bgColor rgb="FFC00000"/>
        </patternFill>
      </fill>
      <border/>
    </dxf>
  </dxfs>
  <tableStyles count="7">
    <tableStyle count="3" pivot="0" name="Overview-style">
      <tableStyleElement dxfId="1" type="headerRow"/>
      <tableStyleElement dxfId="2" type="firstRowStripe"/>
      <tableStyleElement dxfId="3" type="secondRowStripe"/>
    </tableStyle>
    <tableStyle count="3" pivot="0" name="Roadmap-style">
      <tableStyleElement dxfId="1" type="headerRow"/>
      <tableStyleElement dxfId="2" type="firstRowStripe"/>
      <tableStyleElement dxfId="3" type="secondRowStripe"/>
    </tableStyle>
    <tableStyle count="3" pivot="0" name="Experiments-style">
      <tableStyleElement dxfId="1" type="headerRow"/>
      <tableStyleElement dxfId="2" type="firstRowStripe"/>
      <tableStyleElement dxfId="3" type="secondRowStripe"/>
    </tableStyle>
    <tableStyle count="3" pivot="0" name="Metrics-style">
      <tableStyleElement dxfId="1" type="headerRow"/>
      <tableStyleElement dxfId="2" type="firstRowStripe"/>
      <tableStyleElement dxfId="3" type="secondRowStripe"/>
    </tableStyle>
    <tableStyle count="3" pivot="0" name="Risks-style">
      <tableStyleElement dxfId="1" type="headerRow"/>
      <tableStyleElement dxfId="2" type="firstRowStripe"/>
      <tableStyleElement dxfId="3" type="secondRowStripe"/>
    </tableStyle>
    <tableStyle count="3" pivot="0" name="Deliverables-style">
      <tableStyleElement dxfId="1" type="headerRow"/>
      <tableStyleElement dxfId="2" type="firstRowStripe"/>
      <tableStyleElement dxfId="3" type="secondRowStripe"/>
    </tableStyle>
    <tableStyle count="3" pivot="0" name="Sourc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1:H20" displayName="Table_1" name="Table_1" id="1">
  <tableColumns count="8">
    <tableColumn name="Phase" id="1"/>
    <tableColumn name="Days" id="2"/>
    <tableColumn name="Focus" id="3"/>
    <tableColumn name="Primary Deliverables" id="4"/>
    <tableColumn name="Exit Criteria" id="5"/>
    <tableColumn name="Owner" id="6"/>
    <tableColumn name="Status" id="7"/>
    <tableColumn name="Notes" id="8"/>
  </tableColumns>
  <tableStyleInfo name="Overview-style" showColumnStripes="0" showFirstColumn="1" showLastColumn="1" showRowStripes="1"/>
</table>
</file>

<file path=xl/tables/table2.xml><?xml version="1.0" encoding="utf-8"?>
<table xmlns="http://schemas.openxmlformats.org/spreadsheetml/2006/main" ref="A1:L35" displayName="Table_2" name="Table_2" id="2">
  <tableColumns count="12">
    <tableColumn name="Phase" id="1"/>
    <tableColumn name="Start Day" id="2"/>
    <tableColumn name="End Day" id="3"/>
    <tableColumn name="Workstream" id="4"/>
    <tableColumn name="Task" id="5"/>
    <tableColumn name="Deliverable" id="6"/>
    <tableColumn name="Dependency" id="7"/>
    <tableColumn name="Owner" id="8"/>
    <tableColumn name="Status" id="9"/>
    <tableColumn name="Priority" id="10"/>
    <tableColumn name="Evidence / Link" id="11"/>
    <tableColumn name="Notes" id="12"/>
  </tableColumns>
  <tableStyleInfo name="Roadmap-style" showColumnStripes="0" showFirstColumn="1" showLastColumn="1" showRowStripes="1"/>
</table>
</file>

<file path=xl/tables/table3.xml><?xml version="1.0" encoding="utf-8"?>
<table xmlns="http://schemas.openxmlformats.org/spreadsheetml/2006/main" ref="A1:K7" displayName="Table_3" name="Table_3" id="3">
  <tableColumns count="11">
    <tableColumn name="Experiment ID" id="1"/>
    <tableColumn name="Days" id="2"/>
    <tableColumn name="Model" id="3"/>
    <tableColumn name="Approx Params" id="4"/>
    <tableColumn name="Context" id="5"/>
    <tableColumn name="Tokenizer" id="6"/>
    <tableColumn name="Pooling / Evaluation" id="7"/>
    <tableColumn name="Purpose" id="8"/>
    <tableColumn name="Success Criteria" id="9"/>
    <tableColumn name="Status" id="10"/>
    <tableColumn name="Notes" id="11"/>
  </tableColumns>
  <tableStyleInfo name="Experiments-style" showColumnStripes="0" showFirstColumn="1" showLastColumn="1" showRowStripes="1"/>
</table>
</file>

<file path=xl/tables/table4.xml><?xml version="1.0" encoding="utf-8"?>
<table xmlns="http://schemas.openxmlformats.org/spreadsheetml/2006/main" ref="A1:L11" displayName="Table_4" name="Table_4" id="4">
  <tableColumns count="12">
    <tableColumn name="Task" id="1"/>
    <tableColumn name="Dataset Split" id="2"/>
    <tableColumn name="Feature Set" id="3"/>
    <tableColumn name="Model" id="4"/>
    <tableColumn name="ROC-AUC" id="5"/>
    <tableColumn name="PR-AUC" id="6"/>
    <tableColumn name="KS" id="7"/>
    <tableColumn name="Gini" id="8"/>
    <tableColumn name="Brier" id="9"/>
    <tableColumn name="Lift@5%" id="10"/>
    <tableColumn name="Calibration Notes" id="11"/>
    <tableColumn name="Run Link" id="12"/>
  </tableColumns>
  <tableStyleInfo name="Metrics-style" showColumnStripes="0" showFirstColumn="1" showLastColumn="1" showRowStripes="1"/>
</table>
</file>

<file path=xl/tables/table5.xml><?xml version="1.0" encoding="utf-8"?>
<table xmlns="http://schemas.openxmlformats.org/spreadsheetml/2006/main" ref="A1:I8" displayName="Table_5" name="Table_5" id="5">
  <tableColumns count="9">
    <tableColumn name="Risk ID" id="1"/>
    <tableColumn name="Risk" id="2"/>
    <tableColumn name="Severity" id="3"/>
    <tableColumn name="Likelihood" id="4"/>
    <tableColumn name="Mitigation" id="5"/>
    <tableColumn name="Owner" id="6"/>
    <tableColumn name="Status" id="7"/>
    <tableColumn name="Review Date" id="8"/>
    <tableColumn name="Notes" id="9"/>
  </tableColumns>
  <tableStyleInfo name="Risks-style" showColumnStripes="0" showFirstColumn="1" showLastColumn="1" showRowStripes="1"/>
</table>
</file>

<file path=xl/tables/table6.xml><?xml version="1.0" encoding="utf-8"?>
<table xmlns="http://schemas.openxmlformats.org/spreadsheetml/2006/main" ref="A1:I11" displayName="Table_6" name="Table_6" id="6">
  <tableColumns count="9">
    <tableColumn name="Deliverable" id="1"/>
    <tableColumn name="Phase" id="2"/>
    <tableColumn name="Target Day" id="3"/>
    <tableColumn name="Artifact Type" id="4"/>
    <tableColumn name="Acceptance Criteria" id="5"/>
    <tableColumn name="Location / Link" id="6"/>
    <tableColumn name="Owner" id="7"/>
    <tableColumn name="Status" id="8"/>
    <tableColumn name="Notes" id="9"/>
  </tableColumns>
  <tableStyleInfo name="Deliverables-style" showColumnStripes="0" showFirstColumn="1" showLastColumn="1" showRowStripes="1"/>
</table>
</file>

<file path=xl/tables/table7.xml><?xml version="1.0" encoding="utf-8"?>
<table xmlns="http://schemas.openxmlformats.org/spreadsheetml/2006/main" ref="A1:C4" displayName="Table_7" name="Table_7" id="7">
  <tableColumns count="3">
    <tableColumn name="Source" id="1"/>
    <tableColumn name="Use" id="2"/>
    <tableColumn name="URL" id="3"/>
  </tableColumns>
  <tableStyleInfo name="Sourc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13"/>
    <col customWidth="1" min="2" max="2" width="88.0"/>
    <col customWidth="1" min="3" max="3" width="28.0"/>
    <col customWidth="1" min="4" max="4" width="46.0"/>
    <col customWidth="1" min="5" max="5" width="42.0"/>
    <col customWidth="1" min="6" max="6" width="18.0"/>
    <col customWidth="1" min="7" max="7" width="16.0"/>
    <col customWidth="1" min="8" max="8" width="32.0"/>
    <col customWidth="1" min="9" max="26" width="8.63"/>
  </cols>
  <sheetData>
    <row r="1" ht="27.75" customHeight="1">
      <c r="A1" s="1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>
      <c r="A3" s="3" t="s">
        <v>1</v>
      </c>
      <c r="B3" s="4" t="s">
        <v>2</v>
      </c>
    </row>
    <row r="4">
      <c r="A4" s="3" t="s">
        <v>3</v>
      </c>
      <c r="B4" s="4" t="s">
        <v>4</v>
      </c>
    </row>
    <row r="5">
      <c r="A5" s="3" t="s">
        <v>5</v>
      </c>
      <c r="B5" s="4" t="s">
        <v>6</v>
      </c>
    </row>
    <row r="6">
      <c r="A6" s="3" t="s">
        <v>7</v>
      </c>
      <c r="B6" s="4" t="s">
        <v>8</v>
      </c>
    </row>
    <row r="7">
      <c r="A7" s="3" t="s">
        <v>9</v>
      </c>
      <c r="B7" s="4" t="s">
        <v>10</v>
      </c>
    </row>
    <row r="8">
      <c r="A8" s="3" t="s">
        <v>11</v>
      </c>
      <c r="B8" s="4" t="s">
        <v>12</v>
      </c>
    </row>
    <row r="9">
      <c r="A9" s="3" t="s">
        <v>13</v>
      </c>
      <c r="B9" s="4" t="s">
        <v>14</v>
      </c>
    </row>
    <row r="11">
      <c r="A11" s="5" t="s">
        <v>15</v>
      </c>
      <c r="B11" s="5" t="s">
        <v>16</v>
      </c>
      <c r="C11" s="5" t="s">
        <v>17</v>
      </c>
      <c r="D11" s="5" t="s">
        <v>18</v>
      </c>
      <c r="E11" s="5" t="s">
        <v>19</v>
      </c>
      <c r="F11" s="5" t="s">
        <v>20</v>
      </c>
      <c r="G11" s="5" t="s">
        <v>21</v>
      </c>
      <c r="H11" s="5" t="s">
        <v>22</v>
      </c>
    </row>
    <row r="12">
      <c r="A12" s="6" t="s">
        <v>23</v>
      </c>
      <c r="B12" s="6" t="s">
        <v>24</v>
      </c>
      <c r="C12" s="6" t="s">
        <v>25</v>
      </c>
      <c r="D12" s="6" t="s">
        <v>26</v>
      </c>
      <c r="E12" s="6" t="s">
        <v>27</v>
      </c>
      <c r="F12" s="6"/>
      <c r="G12" s="6" t="s">
        <v>28</v>
      </c>
      <c r="H12" s="6"/>
    </row>
    <row r="13">
      <c r="A13" s="6" t="s">
        <v>29</v>
      </c>
      <c r="B13" s="6" t="s">
        <v>30</v>
      </c>
      <c r="C13" s="6" t="s">
        <v>31</v>
      </c>
      <c r="D13" s="6" t="s">
        <v>32</v>
      </c>
      <c r="E13" s="6" t="s">
        <v>33</v>
      </c>
      <c r="F13" s="6"/>
      <c r="G13" s="6" t="s">
        <v>28</v>
      </c>
      <c r="H13" s="6"/>
    </row>
    <row r="14">
      <c r="A14" s="6" t="s">
        <v>34</v>
      </c>
      <c r="B14" s="6" t="s">
        <v>35</v>
      </c>
      <c r="C14" s="6" t="s">
        <v>36</v>
      </c>
      <c r="D14" s="6" t="s">
        <v>37</v>
      </c>
      <c r="E14" s="6" t="s">
        <v>38</v>
      </c>
      <c r="F14" s="6"/>
      <c r="G14" s="6" t="s">
        <v>28</v>
      </c>
      <c r="H14" s="6"/>
    </row>
    <row r="15">
      <c r="A15" s="6" t="s">
        <v>39</v>
      </c>
      <c r="B15" s="6" t="s">
        <v>40</v>
      </c>
      <c r="C15" s="6" t="s">
        <v>41</v>
      </c>
      <c r="D15" s="6" t="s">
        <v>42</v>
      </c>
      <c r="E15" s="6" t="s">
        <v>43</v>
      </c>
      <c r="F15" s="6"/>
      <c r="G15" s="6" t="s">
        <v>28</v>
      </c>
      <c r="H15" s="6"/>
    </row>
    <row r="16">
      <c r="A16" s="6" t="s">
        <v>44</v>
      </c>
      <c r="B16" s="6" t="s">
        <v>45</v>
      </c>
      <c r="C16" s="6" t="s">
        <v>46</v>
      </c>
      <c r="D16" s="6" t="s">
        <v>47</v>
      </c>
      <c r="E16" s="6" t="s">
        <v>48</v>
      </c>
      <c r="F16" s="6"/>
      <c r="G16" s="6" t="s">
        <v>28</v>
      </c>
      <c r="H16" s="6"/>
    </row>
    <row r="17">
      <c r="A17" s="6" t="s">
        <v>49</v>
      </c>
      <c r="B17" s="6" t="s">
        <v>50</v>
      </c>
      <c r="C17" s="6" t="s">
        <v>51</v>
      </c>
      <c r="D17" s="6" t="s">
        <v>52</v>
      </c>
      <c r="E17" s="6" t="s">
        <v>53</v>
      </c>
      <c r="F17" s="6"/>
      <c r="G17" s="6" t="s">
        <v>28</v>
      </c>
      <c r="H17" s="6"/>
    </row>
    <row r="18">
      <c r="A18" s="6" t="s">
        <v>54</v>
      </c>
      <c r="B18" s="6" t="s">
        <v>55</v>
      </c>
      <c r="C18" s="6" t="s">
        <v>56</v>
      </c>
      <c r="D18" s="6" t="s">
        <v>57</v>
      </c>
      <c r="E18" s="6" t="s">
        <v>58</v>
      </c>
      <c r="F18" s="6"/>
      <c r="G18" s="6" t="s">
        <v>28</v>
      </c>
      <c r="H18" s="6"/>
    </row>
    <row r="19">
      <c r="A19" s="6" t="s">
        <v>59</v>
      </c>
      <c r="B19" s="6" t="s">
        <v>60</v>
      </c>
      <c r="C19" s="6" t="s">
        <v>61</v>
      </c>
      <c r="D19" s="6" t="s">
        <v>62</v>
      </c>
      <c r="E19" s="6" t="s">
        <v>63</v>
      </c>
      <c r="F19" s="6"/>
      <c r="G19" s="6" t="s">
        <v>28</v>
      </c>
      <c r="H19" s="6"/>
    </row>
    <row r="20">
      <c r="A20" s="6" t="s">
        <v>64</v>
      </c>
      <c r="B20" s="6" t="s">
        <v>65</v>
      </c>
      <c r="C20" s="6" t="s">
        <v>66</v>
      </c>
      <c r="D20" s="6" t="s">
        <v>67</v>
      </c>
      <c r="E20" s="6" t="s">
        <v>68</v>
      </c>
      <c r="F20" s="6"/>
      <c r="G20" s="6" t="s">
        <v>28</v>
      </c>
      <c r="H20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conditionalFormatting sqref="G12:G20">
    <cfRule type="expression" dxfId="4" priority="1">
      <formula>OR(G12="Done",G12="Mitigated")</formula>
    </cfRule>
  </conditionalFormatting>
  <conditionalFormatting sqref="G12:G20">
    <cfRule type="expression" dxfId="5" priority="2">
      <formula>G12="Blocked"</formula>
    </cfRule>
  </conditionalFormatting>
  <conditionalFormatting sqref="G12:G20">
    <cfRule type="expression" dxfId="6" priority="3">
      <formula>G12="In Progress"</formula>
    </cfRule>
  </conditionalFormatting>
  <dataValidations>
    <dataValidation type="list" allowBlank="1" sqref="G12:G20">
      <formula1>Lists!$A$2:$A$6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3" width="10.0"/>
    <col customWidth="1" min="4" max="4" width="18.0"/>
    <col customWidth="1" min="5" max="5" width="42.0"/>
    <col customWidth="1" min="6" max="6" width="36.0"/>
    <col customWidth="1" min="7" max="7" width="24.0"/>
    <col customWidth="1" min="8" max="9" width="16.0"/>
    <col customWidth="1" min="10" max="10" width="12.0"/>
    <col customWidth="1" min="11" max="11" width="24.0"/>
    <col customWidth="1" min="12" max="12" width="32.0"/>
    <col customWidth="1" min="13" max="26" width="8.63"/>
  </cols>
  <sheetData>
    <row r="1">
      <c r="A1" s="7" t="s">
        <v>15</v>
      </c>
      <c r="B1" s="7" t="s">
        <v>69</v>
      </c>
      <c r="C1" s="7" t="s">
        <v>70</v>
      </c>
      <c r="D1" s="7" t="s">
        <v>71</v>
      </c>
      <c r="E1" s="7" t="s">
        <v>72</v>
      </c>
      <c r="F1" s="7" t="s">
        <v>73</v>
      </c>
      <c r="G1" s="7" t="s">
        <v>74</v>
      </c>
      <c r="H1" s="7" t="s">
        <v>20</v>
      </c>
      <c r="I1" s="7" t="s">
        <v>21</v>
      </c>
      <c r="J1" s="7" t="s">
        <v>75</v>
      </c>
      <c r="K1" s="7" t="s">
        <v>76</v>
      </c>
      <c r="L1" s="7" t="s">
        <v>22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6" t="s">
        <v>23</v>
      </c>
      <c r="B2" s="6">
        <v>1.0</v>
      </c>
      <c r="C2" s="6">
        <v>2.0</v>
      </c>
      <c r="D2" s="6" t="s">
        <v>77</v>
      </c>
      <c r="E2" s="6" t="s">
        <v>78</v>
      </c>
      <c r="F2" s="6" t="s">
        <v>79</v>
      </c>
      <c r="G2" s="6"/>
      <c r="H2" s="6"/>
      <c r="I2" s="6" t="s">
        <v>28</v>
      </c>
      <c r="J2" s="6" t="s">
        <v>80</v>
      </c>
      <c r="K2" s="6"/>
      <c r="L2" s="6"/>
    </row>
    <row r="3">
      <c r="A3" s="6" t="s">
        <v>23</v>
      </c>
      <c r="B3" s="6">
        <v>1.0</v>
      </c>
      <c r="C3" s="6">
        <v>2.0</v>
      </c>
      <c r="D3" s="6" t="s">
        <v>81</v>
      </c>
      <c r="E3" s="6" t="s">
        <v>82</v>
      </c>
      <c r="F3" s="6" t="s">
        <v>83</v>
      </c>
      <c r="G3" s="6"/>
      <c r="H3" s="6"/>
      <c r="I3" s="6" t="s">
        <v>28</v>
      </c>
      <c r="J3" s="6" t="s">
        <v>80</v>
      </c>
      <c r="K3" s="6"/>
      <c r="L3" s="6"/>
    </row>
    <row r="4">
      <c r="A4" s="6" t="s">
        <v>23</v>
      </c>
      <c r="B4" s="6">
        <v>1.0</v>
      </c>
      <c r="C4" s="6">
        <v>2.0</v>
      </c>
      <c r="D4" s="6" t="s">
        <v>84</v>
      </c>
      <c r="E4" s="6" t="s">
        <v>85</v>
      </c>
      <c r="F4" s="6" t="s">
        <v>86</v>
      </c>
      <c r="G4" s="6"/>
      <c r="H4" s="6"/>
      <c r="I4" s="6" t="s">
        <v>28</v>
      </c>
      <c r="J4" s="6" t="s">
        <v>80</v>
      </c>
      <c r="K4" s="6"/>
      <c r="L4" s="6"/>
    </row>
    <row r="5">
      <c r="A5" s="6" t="s">
        <v>23</v>
      </c>
      <c r="B5" s="6">
        <v>1.0</v>
      </c>
      <c r="C5" s="6">
        <v>2.0</v>
      </c>
      <c r="D5" s="6" t="s">
        <v>87</v>
      </c>
      <c r="E5" s="6" t="s">
        <v>88</v>
      </c>
      <c r="F5" s="6" t="s">
        <v>89</v>
      </c>
      <c r="G5" s="6"/>
      <c r="H5" s="6"/>
      <c r="I5" s="6" t="s">
        <v>28</v>
      </c>
      <c r="J5" s="6" t="s">
        <v>90</v>
      </c>
      <c r="K5" s="6"/>
      <c r="L5" s="6"/>
    </row>
    <row r="6">
      <c r="A6" s="6" t="s">
        <v>29</v>
      </c>
      <c r="B6" s="6">
        <v>3.0</v>
      </c>
      <c r="C6" s="6">
        <v>4.0</v>
      </c>
      <c r="D6" s="6" t="s">
        <v>91</v>
      </c>
      <c r="E6" s="6" t="s">
        <v>92</v>
      </c>
      <c r="F6" s="6" t="s">
        <v>93</v>
      </c>
      <c r="G6" s="6" t="s">
        <v>94</v>
      </c>
      <c r="H6" s="6"/>
      <c r="I6" s="6" t="s">
        <v>28</v>
      </c>
      <c r="J6" s="6" t="s">
        <v>80</v>
      </c>
      <c r="K6" s="6"/>
      <c r="L6" s="6"/>
    </row>
    <row r="7">
      <c r="A7" s="6" t="s">
        <v>29</v>
      </c>
      <c r="B7" s="6">
        <v>3.0</v>
      </c>
      <c r="C7" s="6">
        <v>6.0</v>
      </c>
      <c r="D7" s="6" t="s">
        <v>91</v>
      </c>
      <c r="E7" s="6" t="s">
        <v>95</v>
      </c>
      <c r="F7" s="6" t="s">
        <v>96</v>
      </c>
      <c r="G7" s="6" t="s">
        <v>97</v>
      </c>
      <c r="H7" s="6"/>
      <c r="I7" s="6" t="s">
        <v>28</v>
      </c>
      <c r="J7" s="6" t="s">
        <v>80</v>
      </c>
      <c r="K7" s="6"/>
      <c r="L7" s="6"/>
    </row>
    <row r="8">
      <c r="A8" s="6" t="s">
        <v>29</v>
      </c>
      <c r="B8" s="6">
        <v>4.0</v>
      </c>
      <c r="C8" s="6">
        <v>8.0</v>
      </c>
      <c r="D8" s="6" t="s">
        <v>98</v>
      </c>
      <c r="E8" s="6" t="s">
        <v>99</v>
      </c>
      <c r="F8" s="6" t="s">
        <v>100</v>
      </c>
      <c r="G8" s="6" t="s">
        <v>101</v>
      </c>
      <c r="H8" s="6"/>
      <c r="I8" s="6" t="s">
        <v>28</v>
      </c>
      <c r="J8" s="6" t="s">
        <v>80</v>
      </c>
      <c r="K8" s="6"/>
      <c r="L8" s="6"/>
    </row>
    <row r="9">
      <c r="A9" s="6" t="s">
        <v>29</v>
      </c>
      <c r="B9" s="6">
        <v>5.0</v>
      </c>
      <c r="C9" s="6">
        <v>8.0</v>
      </c>
      <c r="D9" s="6" t="s">
        <v>98</v>
      </c>
      <c r="E9" s="6" t="s">
        <v>102</v>
      </c>
      <c r="F9" s="6" t="s">
        <v>103</v>
      </c>
      <c r="G9" s="6" t="s">
        <v>104</v>
      </c>
      <c r="H9" s="6"/>
      <c r="I9" s="6" t="s">
        <v>28</v>
      </c>
      <c r="J9" s="6" t="s">
        <v>80</v>
      </c>
      <c r="K9" s="6"/>
      <c r="L9" s="6"/>
    </row>
    <row r="10">
      <c r="A10" s="6" t="s">
        <v>29</v>
      </c>
      <c r="B10" s="6">
        <v>6.0</v>
      </c>
      <c r="C10" s="6">
        <v>8.0</v>
      </c>
      <c r="D10" s="6" t="s">
        <v>105</v>
      </c>
      <c r="E10" s="6" t="s">
        <v>106</v>
      </c>
      <c r="F10" s="6" t="s">
        <v>107</v>
      </c>
      <c r="G10" s="6" t="s">
        <v>101</v>
      </c>
      <c r="H10" s="6"/>
      <c r="I10" s="6" t="s">
        <v>28</v>
      </c>
      <c r="J10" s="6" t="s">
        <v>80</v>
      </c>
      <c r="K10" s="6"/>
      <c r="L10" s="6"/>
    </row>
    <row r="11">
      <c r="A11" s="6" t="s">
        <v>34</v>
      </c>
      <c r="B11" s="6">
        <v>9.0</v>
      </c>
      <c r="C11" s="6">
        <v>11.0</v>
      </c>
      <c r="D11" s="6" t="s">
        <v>105</v>
      </c>
      <c r="E11" s="6" t="s">
        <v>108</v>
      </c>
      <c r="F11" s="6" t="s">
        <v>109</v>
      </c>
      <c r="G11" s="6" t="s">
        <v>110</v>
      </c>
      <c r="H11" s="6"/>
      <c r="I11" s="6" t="s">
        <v>28</v>
      </c>
      <c r="J11" s="6" t="s">
        <v>80</v>
      </c>
      <c r="K11" s="6"/>
      <c r="L11" s="6"/>
    </row>
    <row r="12">
      <c r="A12" s="6" t="s">
        <v>34</v>
      </c>
      <c r="B12" s="6">
        <v>10.0</v>
      </c>
      <c r="C12" s="6">
        <v>13.0</v>
      </c>
      <c r="D12" s="6" t="s">
        <v>105</v>
      </c>
      <c r="E12" s="6" t="s">
        <v>111</v>
      </c>
      <c r="F12" s="6" t="s">
        <v>112</v>
      </c>
      <c r="G12" s="6" t="s">
        <v>113</v>
      </c>
      <c r="H12" s="6"/>
      <c r="I12" s="6" t="s">
        <v>28</v>
      </c>
      <c r="J12" s="6" t="s">
        <v>80</v>
      </c>
      <c r="K12" s="6"/>
      <c r="L12" s="6"/>
    </row>
    <row r="13">
      <c r="A13" s="6" t="s">
        <v>34</v>
      </c>
      <c r="B13" s="6">
        <v>12.0</v>
      </c>
      <c r="C13" s="6">
        <v>14.0</v>
      </c>
      <c r="D13" s="6" t="s">
        <v>114</v>
      </c>
      <c r="E13" s="6" t="s">
        <v>115</v>
      </c>
      <c r="F13" s="6" t="s">
        <v>116</v>
      </c>
      <c r="G13" s="6" t="s">
        <v>117</v>
      </c>
      <c r="H13" s="6"/>
      <c r="I13" s="6" t="s">
        <v>28</v>
      </c>
      <c r="J13" s="6" t="s">
        <v>80</v>
      </c>
      <c r="K13" s="6"/>
      <c r="L13" s="6"/>
    </row>
    <row r="14">
      <c r="A14" s="6" t="s">
        <v>34</v>
      </c>
      <c r="B14" s="6">
        <v>13.0</v>
      </c>
      <c r="C14" s="6">
        <v>14.0</v>
      </c>
      <c r="D14" s="6" t="s">
        <v>87</v>
      </c>
      <c r="E14" s="6" t="s">
        <v>118</v>
      </c>
      <c r="F14" s="6" t="s">
        <v>119</v>
      </c>
      <c r="G14" s="6" t="s">
        <v>120</v>
      </c>
      <c r="H14" s="6"/>
      <c r="I14" s="6" t="s">
        <v>28</v>
      </c>
      <c r="J14" s="6" t="s">
        <v>80</v>
      </c>
      <c r="K14" s="6"/>
      <c r="L14" s="6"/>
    </row>
    <row r="15">
      <c r="A15" s="6" t="s">
        <v>39</v>
      </c>
      <c r="B15" s="6">
        <v>15.0</v>
      </c>
      <c r="C15" s="6">
        <v>17.0</v>
      </c>
      <c r="D15" s="6" t="s">
        <v>121</v>
      </c>
      <c r="E15" s="6" t="s">
        <v>122</v>
      </c>
      <c r="F15" s="6" t="s">
        <v>123</v>
      </c>
      <c r="G15" s="6" t="s">
        <v>124</v>
      </c>
      <c r="H15" s="6"/>
      <c r="I15" s="6" t="s">
        <v>28</v>
      </c>
      <c r="J15" s="6" t="s">
        <v>80</v>
      </c>
      <c r="K15" s="6"/>
      <c r="L15" s="6"/>
    </row>
    <row r="16">
      <c r="A16" s="6" t="s">
        <v>39</v>
      </c>
      <c r="B16" s="6">
        <v>16.0</v>
      </c>
      <c r="C16" s="6">
        <v>19.0</v>
      </c>
      <c r="D16" s="6" t="s">
        <v>121</v>
      </c>
      <c r="E16" s="6" t="s">
        <v>125</v>
      </c>
      <c r="F16" s="6" t="s">
        <v>126</v>
      </c>
      <c r="G16" s="6" t="s">
        <v>127</v>
      </c>
      <c r="H16" s="6"/>
      <c r="I16" s="6" t="s">
        <v>28</v>
      </c>
      <c r="J16" s="6" t="s">
        <v>80</v>
      </c>
      <c r="K16" s="6"/>
      <c r="L16" s="6"/>
    </row>
    <row r="17">
      <c r="A17" s="6" t="s">
        <v>39</v>
      </c>
      <c r="B17" s="6">
        <v>18.0</v>
      </c>
      <c r="C17" s="6">
        <v>21.0</v>
      </c>
      <c r="D17" s="6" t="s">
        <v>91</v>
      </c>
      <c r="E17" s="6" t="s">
        <v>128</v>
      </c>
      <c r="F17" s="6" t="s">
        <v>129</v>
      </c>
      <c r="G17" s="6" t="s">
        <v>130</v>
      </c>
      <c r="H17" s="6"/>
      <c r="I17" s="6" t="s">
        <v>28</v>
      </c>
      <c r="J17" s="6" t="s">
        <v>80</v>
      </c>
      <c r="K17" s="6"/>
      <c r="L17" s="6"/>
    </row>
    <row r="18">
      <c r="A18" s="6" t="s">
        <v>39</v>
      </c>
      <c r="B18" s="6">
        <v>20.0</v>
      </c>
      <c r="C18" s="6">
        <v>22.0</v>
      </c>
      <c r="D18" s="6" t="s">
        <v>114</v>
      </c>
      <c r="E18" s="6" t="s">
        <v>131</v>
      </c>
      <c r="F18" s="6" t="s">
        <v>132</v>
      </c>
      <c r="G18" s="6" t="s">
        <v>133</v>
      </c>
      <c r="H18" s="6"/>
      <c r="I18" s="6" t="s">
        <v>28</v>
      </c>
      <c r="J18" s="6" t="s">
        <v>80</v>
      </c>
      <c r="K18" s="6"/>
      <c r="L18" s="6"/>
    </row>
    <row r="19">
      <c r="A19" s="6" t="s">
        <v>44</v>
      </c>
      <c r="B19" s="6">
        <v>23.0</v>
      </c>
      <c r="C19" s="6">
        <v>24.0</v>
      </c>
      <c r="D19" s="6" t="s">
        <v>134</v>
      </c>
      <c r="E19" s="6" t="s">
        <v>135</v>
      </c>
      <c r="F19" s="6" t="s">
        <v>136</v>
      </c>
      <c r="G19" s="6" t="s">
        <v>133</v>
      </c>
      <c r="H19" s="6"/>
      <c r="I19" s="6" t="s">
        <v>28</v>
      </c>
      <c r="J19" s="6" t="s">
        <v>80</v>
      </c>
      <c r="K19" s="6"/>
      <c r="L19" s="6"/>
    </row>
    <row r="20">
      <c r="A20" s="6" t="s">
        <v>44</v>
      </c>
      <c r="B20" s="6">
        <v>25.0</v>
      </c>
      <c r="C20" s="6">
        <v>27.0</v>
      </c>
      <c r="D20" s="6" t="s">
        <v>134</v>
      </c>
      <c r="E20" s="6" t="s">
        <v>137</v>
      </c>
      <c r="F20" s="6" t="s">
        <v>138</v>
      </c>
      <c r="G20" s="6" t="s">
        <v>139</v>
      </c>
      <c r="H20" s="6"/>
      <c r="I20" s="6" t="s">
        <v>28</v>
      </c>
      <c r="J20" s="6" t="s">
        <v>80</v>
      </c>
      <c r="K20" s="6"/>
      <c r="L20" s="6"/>
    </row>
    <row r="21" ht="15.75" customHeight="1">
      <c r="A21" s="6" t="s">
        <v>44</v>
      </c>
      <c r="B21" s="6">
        <v>28.0</v>
      </c>
      <c r="C21" s="6">
        <v>31.0</v>
      </c>
      <c r="D21" s="6" t="s">
        <v>134</v>
      </c>
      <c r="E21" s="6" t="s">
        <v>140</v>
      </c>
      <c r="F21" s="6" t="s">
        <v>141</v>
      </c>
      <c r="G21" s="6" t="s">
        <v>138</v>
      </c>
      <c r="H21" s="6"/>
      <c r="I21" s="6" t="s">
        <v>28</v>
      </c>
      <c r="J21" s="6" t="s">
        <v>80</v>
      </c>
      <c r="K21" s="6"/>
      <c r="L21" s="6"/>
    </row>
    <row r="22" ht="15.75" customHeight="1">
      <c r="A22" s="6" t="s">
        <v>44</v>
      </c>
      <c r="B22" s="6">
        <v>30.0</v>
      </c>
      <c r="C22" s="6">
        <v>34.0</v>
      </c>
      <c r="D22" s="6" t="s">
        <v>134</v>
      </c>
      <c r="E22" s="6" t="s">
        <v>142</v>
      </c>
      <c r="F22" s="6" t="s">
        <v>143</v>
      </c>
      <c r="G22" s="6" t="s">
        <v>144</v>
      </c>
      <c r="H22" s="6"/>
      <c r="I22" s="6" t="s">
        <v>28</v>
      </c>
      <c r="J22" s="6" t="s">
        <v>90</v>
      </c>
      <c r="K22" s="6"/>
      <c r="L22" s="6"/>
    </row>
    <row r="23" ht="15.75" customHeight="1">
      <c r="A23" s="6" t="s">
        <v>44</v>
      </c>
      <c r="B23" s="6">
        <v>32.0</v>
      </c>
      <c r="C23" s="6">
        <v>34.0</v>
      </c>
      <c r="D23" s="6" t="s">
        <v>84</v>
      </c>
      <c r="E23" s="6" t="s">
        <v>145</v>
      </c>
      <c r="F23" s="6" t="s">
        <v>146</v>
      </c>
      <c r="G23" s="6" t="s">
        <v>147</v>
      </c>
      <c r="H23" s="6"/>
      <c r="I23" s="6" t="s">
        <v>28</v>
      </c>
      <c r="J23" s="6" t="s">
        <v>90</v>
      </c>
      <c r="K23" s="6"/>
      <c r="L23" s="6"/>
    </row>
    <row r="24" ht="15.75" customHeight="1">
      <c r="A24" s="6" t="s">
        <v>49</v>
      </c>
      <c r="B24" s="6">
        <v>35.0</v>
      </c>
      <c r="C24" s="6">
        <v>37.0</v>
      </c>
      <c r="D24" s="6" t="s">
        <v>148</v>
      </c>
      <c r="E24" s="6" t="s">
        <v>149</v>
      </c>
      <c r="F24" s="6" t="s">
        <v>150</v>
      </c>
      <c r="G24" s="6" t="s">
        <v>151</v>
      </c>
      <c r="H24" s="6"/>
      <c r="I24" s="6" t="s">
        <v>28</v>
      </c>
      <c r="J24" s="6" t="s">
        <v>80</v>
      </c>
      <c r="K24" s="6"/>
      <c r="L24" s="6"/>
    </row>
    <row r="25" ht="15.75" customHeight="1">
      <c r="A25" s="6" t="s">
        <v>49</v>
      </c>
      <c r="B25" s="6">
        <v>37.0</v>
      </c>
      <c r="C25" s="6">
        <v>41.0</v>
      </c>
      <c r="D25" s="6" t="s">
        <v>105</v>
      </c>
      <c r="E25" s="6" t="s">
        <v>152</v>
      </c>
      <c r="F25" s="6" t="s">
        <v>153</v>
      </c>
      <c r="G25" s="6" t="s">
        <v>154</v>
      </c>
      <c r="H25" s="6"/>
      <c r="I25" s="6" t="s">
        <v>28</v>
      </c>
      <c r="J25" s="6" t="s">
        <v>80</v>
      </c>
      <c r="K25" s="6"/>
      <c r="L25" s="6"/>
    </row>
    <row r="26" ht="15.75" customHeight="1">
      <c r="A26" s="6" t="s">
        <v>49</v>
      </c>
      <c r="B26" s="6">
        <v>40.0</v>
      </c>
      <c r="C26" s="6">
        <v>43.0</v>
      </c>
      <c r="D26" s="6" t="s">
        <v>114</v>
      </c>
      <c r="E26" s="6" t="s">
        <v>155</v>
      </c>
      <c r="F26" s="6" t="s">
        <v>156</v>
      </c>
      <c r="G26" s="6" t="s">
        <v>157</v>
      </c>
      <c r="H26" s="6"/>
      <c r="I26" s="6" t="s">
        <v>28</v>
      </c>
      <c r="J26" s="6" t="s">
        <v>80</v>
      </c>
      <c r="K26" s="6"/>
      <c r="L26" s="6"/>
    </row>
    <row r="27" ht="15.75" customHeight="1">
      <c r="A27" s="6" t="s">
        <v>54</v>
      </c>
      <c r="B27" s="6">
        <v>44.0</v>
      </c>
      <c r="C27" s="6">
        <v>46.0</v>
      </c>
      <c r="D27" s="6" t="s">
        <v>121</v>
      </c>
      <c r="E27" s="6" t="s">
        <v>158</v>
      </c>
      <c r="F27" s="6" t="s">
        <v>159</v>
      </c>
      <c r="G27" s="6" t="s">
        <v>120</v>
      </c>
      <c r="H27" s="6"/>
      <c r="I27" s="6" t="s">
        <v>28</v>
      </c>
      <c r="J27" s="6" t="s">
        <v>90</v>
      </c>
      <c r="K27" s="6"/>
      <c r="L27" s="6"/>
    </row>
    <row r="28" ht="15.75" customHeight="1">
      <c r="A28" s="6" t="s">
        <v>54</v>
      </c>
      <c r="B28" s="6">
        <v>46.0</v>
      </c>
      <c r="C28" s="6">
        <v>48.0</v>
      </c>
      <c r="D28" s="6" t="s">
        <v>134</v>
      </c>
      <c r="E28" s="6" t="s">
        <v>160</v>
      </c>
      <c r="F28" s="6" t="s">
        <v>161</v>
      </c>
      <c r="G28" s="6" t="s">
        <v>162</v>
      </c>
      <c r="H28" s="6"/>
      <c r="I28" s="6" t="s">
        <v>28</v>
      </c>
      <c r="J28" s="6" t="s">
        <v>90</v>
      </c>
      <c r="K28" s="6"/>
      <c r="L28" s="6"/>
    </row>
    <row r="29" ht="15.75" customHeight="1">
      <c r="A29" s="6" t="s">
        <v>54</v>
      </c>
      <c r="B29" s="6">
        <v>48.0</v>
      </c>
      <c r="C29" s="6">
        <v>50.0</v>
      </c>
      <c r="D29" s="6" t="s">
        <v>87</v>
      </c>
      <c r="E29" s="6" t="s">
        <v>163</v>
      </c>
      <c r="F29" s="6" t="s">
        <v>164</v>
      </c>
      <c r="G29" s="6" t="s">
        <v>165</v>
      </c>
      <c r="H29" s="6"/>
      <c r="I29" s="6" t="s">
        <v>28</v>
      </c>
      <c r="J29" s="6" t="s">
        <v>80</v>
      </c>
      <c r="K29" s="6"/>
      <c r="L29" s="6"/>
    </row>
    <row r="30" ht="15.75" customHeight="1">
      <c r="A30" s="6" t="s">
        <v>59</v>
      </c>
      <c r="B30" s="6">
        <v>51.0</v>
      </c>
      <c r="C30" s="6">
        <v>53.0</v>
      </c>
      <c r="D30" s="6" t="s">
        <v>166</v>
      </c>
      <c r="E30" s="6" t="s">
        <v>167</v>
      </c>
      <c r="F30" s="6" t="s">
        <v>168</v>
      </c>
      <c r="G30" s="6" t="s">
        <v>169</v>
      </c>
      <c r="H30" s="6"/>
      <c r="I30" s="6" t="s">
        <v>28</v>
      </c>
      <c r="J30" s="6" t="s">
        <v>80</v>
      </c>
      <c r="K30" s="6"/>
      <c r="L30" s="6"/>
    </row>
    <row r="31" ht="15.75" customHeight="1">
      <c r="A31" s="6" t="s">
        <v>59</v>
      </c>
      <c r="B31" s="6">
        <v>53.0</v>
      </c>
      <c r="C31" s="6">
        <v>55.0</v>
      </c>
      <c r="D31" s="6" t="s">
        <v>166</v>
      </c>
      <c r="E31" s="6" t="s">
        <v>170</v>
      </c>
      <c r="F31" s="6" t="s">
        <v>171</v>
      </c>
      <c r="G31" s="6" t="s">
        <v>172</v>
      </c>
      <c r="H31" s="6"/>
      <c r="I31" s="6" t="s">
        <v>28</v>
      </c>
      <c r="J31" s="6" t="s">
        <v>80</v>
      </c>
      <c r="K31" s="6"/>
      <c r="L31" s="6"/>
    </row>
    <row r="32" ht="15.75" customHeight="1">
      <c r="A32" s="6" t="s">
        <v>59</v>
      </c>
      <c r="B32" s="6">
        <v>55.0</v>
      </c>
      <c r="C32" s="6">
        <v>56.0</v>
      </c>
      <c r="D32" s="6" t="s">
        <v>173</v>
      </c>
      <c r="E32" s="6" t="s">
        <v>174</v>
      </c>
      <c r="F32" s="6" t="s">
        <v>175</v>
      </c>
      <c r="G32" s="6" t="s">
        <v>176</v>
      </c>
      <c r="H32" s="6"/>
      <c r="I32" s="6" t="s">
        <v>28</v>
      </c>
      <c r="J32" s="6" t="s">
        <v>90</v>
      </c>
      <c r="K32" s="6"/>
      <c r="L32" s="6"/>
    </row>
    <row r="33" ht="15.75" customHeight="1">
      <c r="A33" s="6" t="s">
        <v>64</v>
      </c>
      <c r="B33" s="6">
        <v>57.0</v>
      </c>
      <c r="C33" s="6">
        <v>58.0</v>
      </c>
      <c r="D33" s="6" t="s">
        <v>114</v>
      </c>
      <c r="E33" s="6" t="s">
        <v>177</v>
      </c>
      <c r="F33" s="6" t="s">
        <v>178</v>
      </c>
      <c r="G33" s="6" t="s">
        <v>179</v>
      </c>
      <c r="H33" s="6"/>
      <c r="I33" s="6" t="s">
        <v>28</v>
      </c>
      <c r="J33" s="6" t="s">
        <v>80</v>
      </c>
      <c r="K33" s="6"/>
      <c r="L33" s="6"/>
    </row>
    <row r="34" ht="15.75" customHeight="1">
      <c r="A34" s="6" t="s">
        <v>64</v>
      </c>
      <c r="B34" s="6">
        <v>58.0</v>
      </c>
      <c r="C34" s="6">
        <v>59.0</v>
      </c>
      <c r="D34" s="6" t="s">
        <v>87</v>
      </c>
      <c r="E34" s="6" t="s">
        <v>180</v>
      </c>
      <c r="F34" s="6" t="s">
        <v>181</v>
      </c>
      <c r="G34" s="6" t="s">
        <v>178</v>
      </c>
      <c r="H34" s="6"/>
      <c r="I34" s="6" t="s">
        <v>28</v>
      </c>
      <c r="J34" s="6" t="s">
        <v>80</v>
      </c>
      <c r="K34" s="6"/>
      <c r="L34" s="6"/>
    </row>
    <row r="35" ht="15.75" customHeight="1">
      <c r="A35" s="6" t="s">
        <v>64</v>
      </c>
      <c r="B35" s="6">
        <v>59.0</v>
      </c>
      <c r="C35" s="6">
        <v>60.0</v>
      </c>
      <c r="D35" s="6" t="s">
        <v>77</v>
      </c>
      <c r="E35" s="6" t="s">
        <v>182</v>
      </c>
      <c r="F35" s="6" t="s">
        <v>183</v>
      </c>
      <c r="G35" s="6" t="s">
        <v>184</v>
      </c>
      <c r="H35" s="6"/>
      <c r="I35" s="6" t="s">
        <v>28</v>
      </c>
      <c r="J35" s="6" t="s">
        <v>80</v>
      </c>
      <c r="K35" s="6"/>
      <c r="L35" s="6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I2:I35">
    <cfRule type="expression" dxfId="4" priority="1">
      <formula>OR(I2="Done",I2="Mitigated")</formula>
    </cfRule>
  </conditionalFormatting>
  <conditionalFormatting sqref="I2:I35">
    <cfRule type="expression" dxfId="5" priority="2">
      <formula>I2="Blocked"</formula>
    </cfRule>
  </conditionalFormatting>
  <conditionalFormatting sqref="I2:I35">
    <cfRule type="expression" dxfId="6" priority="3">
      <formula>I2="In Progress"</formula>
    </cfRule>
  </conditionalFormatting>
  <dataValidations>
    <dataValidation type="list" allowBlank="1" sqref="J2:J35">
      <formula1>Lists!$B$2:$B$5</formula1>
    </dataValidation>
    <dataValidation type="list" allowBlank="1" sqref="I2:I35">
      <formula1>Lists!$A$2:$A$6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12.0"/>
    <col customWidth="1" min="3" max="3" width="18.0"/>
    <col customWidth="1" min="4" max="4" width="16.0"/>
    <col customWidth="1" min="5" max="6" width="12.0"/>
    <col customWidth="1" min="7" max="7" width="24.0"/>
    <col customWidth="1" min="8" max="8" width="34.0"/>
    <col customWidth="1" min="9" max="9" width="38.0"/>
    <col customWidth="1" min="10" max="10" width="16.0"/>
    <col customWidth="1" min="11" max="11" width="32.0"/>
    <col customWidth="1" min="12" max="26" width="8.63"/>
  </cols>
  <sheetData>
    <row r="1">
      <c r="A1" s="7" t="s">
        <v>185</v>
      </c>
      <c r="B1" s="7" t="s">
        <v>16</v>
      </c>
      <c r="C1" s="7" t="s">
        <v>186</v>
      </c>
      <c r="D1" s="7" t="s">
        <v>187</v>
      </c>
      <c r="E1" s="7" t="s">
        <v>188</v>
      </c>
      <c r="F1" s="7" t="s">
        <v>121</v>
      </c>
      <c r="G1" s="7" t="s">
        <v>189</v>
      </c>
      <c r="H1" s="7" t="s">
        <v>190</v>
      </c>
      <c r="I1" s="7" t="s">
        <v>191</v>
      </c>
      <c r="J1" s="7" t="s">
        <v>21</v>
      </c>
      <c r="K1" s="7" t="s">
        <v>22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6" t="s">
        <v>192</v>
      </c>
      <c r="B2" s="6" t="s">
        <v>193</v>
      </c>
      <c r="C2" s="6" t="s">
        <v>194</v>
      </c>
      <c r="D2" s="6" t="s">
        <v>195</v>
      </c>
      <c r="E2" s="6" t="s">
        <v>196</v>
      </c>
      <c r="F2" s="6" t="s">
        <v>197</v>
      </c>
      <c r="G2" s="6" t="s">
        <v>198</v>
      </c>
      <c r="H2" s="6" t="s">
        <v>199</v>
      </c>
      <c r="I2" s="6" t="s">
        <v>200</v>
      </c>
      <c r="J2" s="6" t="s">
        <v>28</v>
      </c>
      <c r="K2" s="6"/>
    </row>
    <row r="3">
      <c r="A3" s="6" t="s">
        <v>201</v>
      </c>
      <c r="B3" s="6" t="s">
        <v>202</v>
      </c>
      <c r="C3" s="6" t="s">
        <v>194</v>
      </c>
      <c r="D3" s="6" t="s">
        <v>195</v>
      </c>
      <c r="E3" s="6" t="s">
        <v>203</v>
      </c>
      <c r="F3" s="6" t="s">
        <v>197</v>
      </c>
      <c r="G3" s="6" t="s">
        <v>204</v>
      </c>
      <c r="H3" s="6" t="s">
        <v>205</v>
      </c>
      <c r="I3" s="6" t="s">
        <v>206</v>
      </c>
      <c r="J3" s="6" t="s">
        <v>28</v>
      </c>
      <c r="K3" s="6"/>
    </row>
    <row r="4">
      <c r="A4" s="6" t="s">
        <v>207</v>
      </c>
      <c r="B4" s="6" t="s">
        <v>208</v>
      </c>
      <c r="C4" s="6" t="s">
        <v>209</v>
      </c>
      <c r="D4" s="6" t="s">
        <v>210</v>
      </c>
      <c r="E4" s="6" t="s">
        <v>203</v>
      </c>
      <c r="F4" s="6" t="s">
        <v>197</v>
      </c>
      <c r="G4" s="6" t="s">
        <v>211</v>
      </c>
      <c r="H4" s="6" t="s">
        <v>212</v>
      </c>
      <c r="I4" s="6" t="s">
        <v>213</v>
      </c>
      <c r="J4" s="6" t="s">
        <v>28</v>
      </c>
      <c r="K4" s="6"/>
    </row>
    <row r="5">
      <c r="A5" s="6" t="s">
        <v>214</v>
      </c>
      <c r="B5" s="6" t="s">
        <v>215</v>
      </c>
      <c r="C5" s="6" t="s">
        <v>209</v>
      </c>
      <c r="D5" s="6" t="s">
        <v>210</v>
      </c>
      <c r="E5" s="6" t="s">
        <v>216</v>
      </c>
      <c r="F5" s="6" t="s">
        <v>197</v>
      </c>
      <c r="G5" s="6" t="s">
        <v>217</v>
      </c>
      <c r="H5" s="6" t="s">
        <v>218</v>
      </c>
      <c r="I5" s="6" t="s">
        <v>219</v>
      </c>
      <c r="J5" s="6" t="s">
        <v>28</v>
      </c>
      <c r="K5" s="6"/>
    </row>
    <row r="6">
      <c r="A6" s="6" t="s">
        <v>220</v>
      </c>
      <c r="B6" s="6" t="s">
        <v>221</v>
      </c>
      <c r="C6" s="6" t="s">
        <v>209</v>
      </c>
      <c r="D6" s="6" t="s">
        <v>210</v>
      </c>
      <c r="E6" s="6" t="s">
        <v>203</v>
      </c>
      <c r="F6" s="6" t="s">
        <v>222</v>
      </c>
      <c r="G6" s="6" t="s">
        <v>223</v>
      </c>
      <c r="H6" s="6" t="s">
        <v>224</v>
      </c>
      <c r="I6" s="6" t="s">
        <v>225</v>
      </c>
      <c r="J6" s="6" t="s">
        <v>28</v>
      </c>
      <c r="K6" s="6"/>
    </row>
    <row r="7">
      <c r="A7" s="6" t="s">
        <v>226</v>
      </c>
      <c r="B7" s="6" t="s">
        <v>227</v>
      </c>
      <c r="C7" s="6" t="s">
        <v>228</v>
      </c>
      <c r="D7" s="6" t="s">
        <v>229</v>
      </c>
      <c r="E7" s="6" t="s">
        <v>216</v>
      </c>
      <c r="F7" s="6" t="s">
        <v>222</v>
      </c>
      <c r="G7" s="6" t="s">
        <v>230</v>
      </c>
      <c r="H7" s="6" t="s">
        <v>231</v>
      </c>
      <c r="I7" s="6" t="s">
        <v>232</v>
      </c>
      <c r="J7" s="6" t="s">
        <v>28</v>
      </c>
      <c r="K7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J2:J7">
    <cfRule type="expression" dxfId="4" priority="1">
      <formula>OR(J2="Done",J2="Mitigated")</formula>
    </cfRule>
  </conditionalFormatting>
  <conditionalFormatting sqref="J2:J7">
    <cfRule type="expression" dxfId="5" priority="2">
      <formula>J2="Blocked"</formula>
    </cfRule>
  </conditionalFormatting>
  <conditionalFormatting sqref="J2:J7">
    <cfRule type="expression" dxfId="6" priority="3">
      <formula>J2="In Progress"</formula>
    </cfRule>
  </conditionalFormatting>
  <dataValidations>
    <dataValidation type="list" allowBlank="1" sqref="J2:J7">
      <formula1>Lists!$A$2:$A$6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16.0"/>
    <col customWidth="1" min="3" max="3" width="20.0"/>
    <col customWidth="1" min="4" max="4" width="16.0"/>
    <col customWidth="1" min="5" max="10" width="10.0"/>
    <col customWidth="1" min="11" max="11" width="30.0"/>
    <col customWidth="1" min="12" max="12" width="24.0"/>
    <col customWidth="1" min="13" max="26" width="8.63"/>
  </cols>
  <sheetData>
    <row r="1">
      <c r="A1" s="7" t="s">
        <v>72</v>
      </c>
      <c r="B1" s="7" t="s">
        <v>233</v>
      </c>
      <c r="C1" s="7" t="s">
        <v>234</v>
      </c>
      <c r="D1" s="7" t="s">
        <v>186</v>
      </c>
      <c r="E1" s="7" t="s">
        <v>235</v>
      </c>
      <c r="F1" s="7" t="s">
        <v>236</v>
      </c>
      <c r="G1" s="7" t="s">
        <v>237</v>
      </c>
      <c r="H1" s="7" t="s">
        <v>238</v>
      </c>
      <c r="I1" s="7" t="s">
        <v>239</v>
      </c>
      <c r="J1" s="7" t="s">
        <v>240</v>
      </c>
      <c r="K1" s="7" t="s">
        <v>241</v>
      </c>
      <c r="L1" s="7" t="s">
        <v>242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6" t="s">
        <v>243</v>
      </c>
      <c r="B2" s="6" t="s">
        <v>114</v>
      </c>
      <c r="C2" s="6" t="s">
        <v>244</v>
      </c>
      <c r="D2" s="6" t="s">
        <v>245</v>
      </c>
      <c r="E2" s="8"/>
      <c r="F2" s="8"/>
      <c r="G2" s="8"/>
      <c r="H2" s="8"/>
      <c r="I2" s="8"/>
      <c r="J2" s="8"/>
      <c r="K2" s="6"/>
      <c r="L2" s="6"/>
    </row>
    <row r="3">
      <c r="A3" s="6" t="s">
        <v>243</v>
      </c>
      <c r="B3" s="6" t="s">
        <v>114</v>
      </c>
      <c r="C3" s="6" t="s">
        <v>246</v>
      </c>
      <c r="D3" s="6" t="s">
        <v>245</v>
      </c>
      <c r="E3" s="8"/>
      <c r="F3" s="8"/>
      <c r="G3" s="8"/>
      <c r="H3" s="8"/>
      <c r="I3" s="8"/>
      <c r="J3" s="8"/>
      <c r="K3" s="6"/>
      <c r="L3" s="6"/>
    </row>
    <row r="4">
      <c r="A4" s="6" t="s">
        <v>243</v>
      </c>
      <c r="B4" s="6" t="s">
        <v>114</v>
      </c>
      <c r="C4" s="6" t="s">
        <v>247</v>
      </c>
      <c r="D4" s="6" t="s">
        <v>245</v>
      </c>
      <c r="E4" s="8"/>
      <c r="F4" s="8"/>
      <c r="G4" s="8"/>
      <c r="H4" s="8"/>
      <c r="I4" s="8"/>
      <c r="J4" s="8"/>
      <c r="K4" s="6"/>
      <c r="L4" s="6"/>
    </row>
    <row r="5">
      <c r="A5" s="6" t="s">
        <v>248</v>
      </c>
      <c r="B5" s="6" t="s">
        <v>114</v>
      </c>
      <c r="C5" s="6" t="s">
        <v>244</v>
      </c>
      <c r="D5" s="6" t="s">
        <v>245</v>
      </c>
      <c r="E5" s="8"/>
      <c r="F5" s="8"/>
      <c r="G5" s="8"/>
      <c r="H5" s="8"/>
      <c r="I5" s="8"/>
      <c r="J5" s="8"/>
      <c r="K5" s="6"/>
      <c r="L5" s="6"/>
    </row>
    <row r="6">
      <c r="A6" s="6" t="s">
        <v>248</v>
      </c>
      <c r="B6" s="6" t="s">
        <v>114</v>
      </c>
      <c r="C6" s="6" t="s">
        <v>246</v>
      </c>
      <c r="D6" s="6" t="s">
        <v>245</v>
      </c>
      <c r="E6" s="8"/>
      <c r="F6" s="8"/>
      <c r="G6" s="8"/>
      <c r="H6" s="8"/>
      <c r="I6" s="8"/>
      <c r="J6" s="8"/>
      <c r="K6" s="6"/>
      <c r="L6" s="6"/>
    </row>
    <row r="7">
      <c r="A7" s="6" t="s">
        <v>248</v>
      </c>
      <c r="B7" s="6" t="s">
        <v>114</v>
      </c>
      <c r="C7" s="6" t="s">
        <v>247</v>
      </c>
      <c r="D7" s="6" t="s">
        <v>245</v>
      </c>
      <c r="E7" s="8"/>
      <c r="F7" s="8"/>
      <c r="G7" s="8"/>
      <c r="H7" s="8"/>
      <c r="I7" s="8"/>
      <c r="J7" s="8"/>
      <c r="K7" s="6"/>
      <c r="L7" s="6"/>
    </row>
    <row r="8">
      <c r="A8" s="6" t="s">
        <v>249</v>
      </c>
      <c r="B8" s="6" t="s">
        <v>114</v>
      </c>
      <c r="C8" s="6" t="s">
        <v>244</v>
      </c>
      <c r="D8" s="6" t="s">
        <v>250</v>
      </c>
      <c r="E8" s="8"/>
      <c r="F8" s="8"/>
      <c r="G8" s="8"/>
      <c r="H8" s="8"/>
      <c r="I8" s="8"/>
      <c r="J8" s="8"/>
      <c r="K8" s="6"/>
      <c r="L8" s="6"/>
    </row>
    <row r="9">
      <c r="A9" s="6" t="s">
        <v>249</v>
      </c>
      <c r="B9" s="6" t="s">
        <v>114</v>
      </c>
      <c r="C9" s="6" t="s">
        <v>246</v>
      </c>
      <c r="D9" s="6" t="s">
        <v>250</v>
      </c>
      <c r="E9" s="8"/>
      <c r="F9" s="8"/>
      <c r="G9" s="8"/>
      <c r="H9" s="8"/>
      <c r="I9" s="8"/>
      <c r="J9" s="8"/>
      <c r="K9" s="6"/>
      <c r="L9" s="6"/>
    </row>
    <row r="10">
      <c r="A10" s="6" t="s">
        <v>249</v>
      </c>
      <c r="B10" s="6" t="s">
        <v>114</v>
      </c>
      <c r="C10" s="6" t="s">
        <v>247</v>
      </c>
      <c r="D10" s="6" t="s">
        <v>250</v>
      </c>
      <c r="E10" s="8"/>
      <c r="F10" s="8"/>
      <c r="G10" s="8"/>
      <c r="H10" s="8"/>
      <c r="I10" s="8"/>
      <c r="J10" s="8"/>
      <c r="K10" s="6"/>
      <c r="L10" s="6"/>
    </row>
    <row r="11">
      <c r="A11" s="6" t="s">
        <v>251</v>
      </c>
      <c r="B11" s="6" t="s">
        <v>114</v>
      </c>
      <c r="C11" s="6" t="s">
        <v>246</v>
      </c>
      <c r="D11" s="6" t="s">
        <v>252</v>
      </c>
      <c r="E11" s="8"/>
      <c r="F11" s="8"/>
      <c r="G11" s="8"/>
      <c r="H11" s="8"/>
      <c r="I11" s="8"/>
      <c r="J11" s="8"/>
      <c r="K11" s="6"/>
      <c r="L11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42.0"/>
    <col customWidth="1" min="3" max="3" width="12.0"/>
    <col customWidth="1" min="4" max="4" width="14.0"/>
    <col customWidth="1" min="5" max="5" width="50.0"/>
    <col customWidth="1" min="6" max="6" width="16.0"/>
    <col customWidth="1" min="7" max="8" width="14.0"/>
    <col customWidth="1" min="9" max="9" width="30.0"/>
    <col customWidth="1" min="10" max="26" width="8.63"/>
  </cols>
  <sheetData>
    <row r="1">
      <c r="A1" s="7" t="s">
        <v>253</v>
      </c>
      <c r="B1" s="7" t="s">
        <v>254</v>
      </c>
      <c r="C1" s="7" t="s">
        <v>255</v>
      </c>
      <c r="D1" s="7" t="s">
        <v>256</v>
      </c>
      <c r="E1" s="7" t="s">
        <v>257</v>
      </c>
      <c r="F1" s="7" t="s">
        <v>20</v>
      </c>
      <c r="G1" s="7" t="s">
        <v>21</v>
      </c>
      <c r="H1" s="7" t="s">
        <v>258</v>
      </c>
      <c r="I1" s="7" t="s">
        <v>22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6" t="s">
        <v>259</v>
      </c>
      <c r="B2" s="6" t="s">
        <v>260</v>
      </c>
      <c r="C2" s="6" t="s">
        <v>80</v>
      </c>
      <c r="D2" s="6" t="s">
        <v>80</v>
      </c>
      <c r="E2" s="6" t="s">
        <v>261</v>
      </c>
      <c r="F2" s="6"/>
      <c r="G2" s="6" t="s">
        <v>262</v>
      </c>
      <c r="H2" s="6"/>
      <c r="I2" s="6"/>
    </row>
    <row r="3">
      <c r="A3" s="6" t="s">
        <v>263</v>
      </c>
      <c r="B3" s="6" t="s">
        <v>264</v>
      </c>
      <c r="C3" s="6" t="s">
        <v>80</v>
      </c>
      <c r="D3" s="6" t="s">
        <v>90</v>
      </c>
      <c r="E3" s="6" t="s">
        <v>265</v>
      </c>
      <c r="F3" s="6"/>
      <c r="G3" s="6" t="s">
        <v>262</v>
      </c>
      <c r="H3" s="6"/>
      <c r="I3" s="6"/>
    </row>
    <row r="4">
      <c r="A4" s="6" t="s">
        <v>266</v>
      </c>
      <c r="B4" s="6" t="s">
        <v>267</v>
      </c>
      <c r="C4" s="6" t="s">
        <v>90</v>
      </c>
      <c r="D4" s="6" t="s">
        <v>80</v>
      </c>
      <c r="E4" s="6" t="s">
        <v>268</v>
      </c>
      <c r="F4" s="6"/>
      <c r="G4" s="6" t="s">
        <v>262</v>
      </c>
      <c r="H4" s="6"/>
      <c r="I4" s="6"/>
    </row>
    <row r="5">
      <c r="A5" s="6" t="s">
        <v>269</v>
      </c>
      <c r="B5" s="6" t="s">
        <v>270</v>
      </c>
      <c r="C5" s="6" t="s">
        <v>80</v>
      </c>
      <c r="D5" s="6" t="s">
        <v>90</v>
      </c>
      <c r="E5" s="6" t="s">
        <v>271</v>
      </c>
      <c r="F5" s="6"/>
      <c r="G5" s="6" t="s">
        <v>262</v>
      </c>
      <c r="H5" s="6"/>
      <c r="I5" s="6"/>
    </row>
    <row r="6">
      <c r="A6" s="6" t="s">
        <v>272</v>
      </c>
      <c r="B6" s="6" t="s">
        <v>273</v>
      </c>
      <c r="C6" s="6" t="s">
        <v>90</v>
      </c>
      <c r="D6" s="6" t="s">
        <v>90</v>
      </c>
      <c r="E6" s="6" t="s">
        <v>274</v>
      </c>
      <c r="F6" s="6"/>
      <c r="G6" s="6" t="s">
        <v>262</v>
      </c>
      <c r="H6" s="6"/>
      <c r="I6" s="6"/>
    </row>
    <row r="7">
      <c r="A7" s="6" t="s">
        <v>275</v>
      </c>
      <c r="B7" s="6" t="s">
        <v>276</v>
      </c>
      <c r="C7" s="6" t="s">
        <v>80</v>
      </c>
      <c r="D7" s="6" t="s">
        <v>90</v>
      </c>
      <c r="E7" s="6" t="s">
        <v>277</v>
      </c>
      <c r="F7" s="6"/>
      <c r="G7" s="6" t="s">
        <v>262</v>
      </c>
      <c r="H7" s="6"/>
      <c r="I7" s="6"/>
    </row>
    <row r="8">
      <c r="A8" s="6" t="s">
        <v>278</v>
      </c>
      <c r="B8" s="6" t="s">
        <v>279</v>
      </c>
      <c r="C8" s="6" t="s">
        <v>90</v>
      </c>
      <c r="D8" s="6" t="s">
        <v>90</v>
      </c>
      <c r="E8" s="6" t="s">
        <v>280</v>
      </c>
      <c r="F8" s="6"/>
      <c r="G8" s="6" t="s">
        <v>262</v>
      </c>
      <c r="H8" s="6"/>
      <c r="I8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2:C8">
    <cfRule type="expression" dxfId="5" priority="1">
      <formula>C2="High"</formula>
    </cfRule>
  </conditionalFormatting>
  <conditionalFormatting sqref="C2:C8">
    <cfRule type="expression" dxfId="7" priority="2">
      <formula>C2="Critical"</formula>
    </cfRule>
  </conditionalFormatting>
  <dataValidations>
    <dataValidation type="list" allowBlank="1" sqref="D2:D8">
      <formula1>Lists!$D$2:$D$5</formula1>
    </dataValidation>
    <dataValidation type="list" allowBlank="1" sqref="G2:G8">
      <formula1>"Open,Monitoring,Mitigated,Closed"</formula1>
    </dataValidation>
    <dataValidation type="list" allowBlank="1" sqref="C2:C8">
      <formula1>Lists!$C$2:$C$5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0"/>
    <col customWidth="1" min="2" max="2" width="10.0"/>
    <col customWidth="1" min="3" max="3" width="12.0"/>
    <col customWidth="1" min="4" max="4" width="18.0"/>
    <col customWidth="1" min="5" max="5" width="48.0"/>
    <col customWidth="1" min="6" max="6" width="34.0"/>
    <col customWidth="1" min="7" max="8" width="16.0"/>
    <col customWidth="1" min="9" max="9" width="28.0"/>
    <col customWidth="1" min="10" max="26" width="8.63"/>
  </cols>
  <sheetData>
    <row r="1">
      <c r="A1" s="7" t="s">
        <v>73</v>
      </c>
      <c r="B1" s="7" t="s">
        <v>15</v>
      </c>
      <c r="C1" s="7" t="s">
        <v>281</v>
      </c>
      <c r="D1" s="7" t="s">
        <v>282</v>
      </c>
      <c r="E1" s="7" t="s">
        <v>283</v>
      </c>
      <c r="F1" s="7" t="s">
        <v>284</v>
      </c>
      <c r="G1" s="7" t="s">
        <v>20</v>
      </c>
      <c r="H1" s="7" t="s">
        <v>21</v>
      </c>
      <c r="I1" s="7" t="s">
        <v>22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6" t="s">
        <v>31</v>
      </c>
      <c r="B2" s="6" t="s">
        <v>29</v>
      </c>
      <c r="C2" s="6" t="s">
        <v>64</v>
      </c>
      <c r="D2" s="6" t="s">
        <v>285</v>
      </c>
      <c r="E2" s="6" t="s">
        <v>286</v>
      </c>
      <c r="F2" s="6" t="s">
        <v>287</v>
      </c>
      <c r="G2" s="6"/>
      <c r="H2" s="6" t="s">
        <v>28</v>
      </c>
      <c r="I2" s="6"/>
    </row>
    <row r="3">
      <c r="A3" s="6" t="s">
        <v>288</v>
      </c>
      <c r="B3" s="6" t="s">
        <v>34</v>
      </c>
      <c r="C3" s="6" t="s">
        <v>289</v>
      </c>
      <c r="D3" s="6" t="s">
        <v>290</v>
      </c>
      <c r="E3" s="6" t="s">
        <v>291</v>
      </c>
      <c r="F3" s="6" t="s">
        <v>292</v>
      </c>
      <c r="G3" s="6"/>
      <c r="H3" s="6" t="s">
        <v>28</v>
      </c>
      <c r="I3" s="6"/>
    </row>
    <row r="4">
      <c r="A4" s="6" t="s">
        <v>41</v>
      </c>
      <c r="B4" s="6" t="s">
        <v>39</v>
      </c>
      <c r="C4" s="6" t="s">
        <v>293</v>
      </c>
      <c r="D4" s="6" t="s">
        <v>294</v>
      </c>
      <c r="E4" s="6" t="s">
        <v>295</v>
      </c>
      <c r="F4" s="6" t="s">
        <v>296</v>
      </c>
      <c r="G4" s="6"/>
      <c r="H4" s="6" t="s">
        <v>28</v>
      </c>
      <c r="I4" s="6"/>
    </row>
    <row r="5">
      <c r="A5" s="6" t="s">
        <v>297</v>
      </c>
      <c r="B5" s="6" t="s">
        <v>44</v>
      </c>
      <c r="C5" s="6" t="s">
        <v>298</v>
      </c>
      <c r="D5" s="6" t="s">
        <v>299</v>
      </c>
      <c r="E5" s="6" t="s">
        <v>300</v>
      </c>
      <c r="F5" s="6" t="s">
        <v>301</v>
      </c>
      <c r="G5" s="6"/>
      <c r="H5" s="6" t="s">
        <v>28</v>
      </c>
      <c r="I5" s="6"/>
    </row>
    <row r="6">
      <c r="A6" s="6" t="s">
        <v>302</v>
      </c>
      <c r="B6" s="6" t="s">
        <v>49</v>
      </c>
      <c r="C6" s="6" t="s">
        <v>303</v>
      </c>
      <c r="D6" s="6" t="s">
        <v>304</v>
      </c>
      <c r="E6" s="6" t="s">
        <v>305</v>
      </c>
      <c r="F6" s="6" t="s">
        <v>306</v>
      </c>
      <c r="G6" s="6"/>
      <c r="H6" s="6" t="s">
        <v>28</v>
      </c>
      <c r="I6" s="6"/>
    </row>
    <row r="7">
      <c r="A7" s="6" t="s">
        <v>307</v>
      </c>
      <c r="B7" s="6" t="s">
        <v>49</v>
      </c>
      <c r="C7" s="6" t="s">
        <v>308</v>
      </c>
      <c r="D7" s="6" t="s">
        <v>309</v>
      </c>
      <c r="E7" s="6" t="s">
        <v>310</v>
      </c>
      <c r="F7" s="6" t="s">
        <v>311</v>
      </c>
      <c r="G7" s="6"/>
      <c r="H7" s="6" t="s">
        <v>28</v>
      </c>
      <c r="I7" s="6"/>
    </row>
    <row r="8">
      <c r="A8" s="6" t="s">
        <v>312</v>
      </c>
      <c r="B8" s="6" t="s">
        <v>54</v>
      </c>
      <c r="C8" s="6" t="s">
        <v>313</v>
      </c>
      <c r="D8" s="6" t="s">
        <v>309</v>
      </c>
      <c r="E8" s="6" t="s">
        <v>314</v>
      </c>
      <c r="F8" s="6" t="s">
        <v>315</v>
      </c>
      <c r="G8" s="6"/>
      <c r="H8" s="6" t="s">
        <v>28</v>
      </c>
      <c r="I8" s="6"/>
    </row>
    <row r="9">
      <c r="A9" s="6" t="s">
        <v>316</v>
      </c>
      <c r="B9" s="6" t="s">
        <v>59</v>
      </c>
      <c r="C9" s="6" t="s">
        <v>317</v>
      </c>
      <c r="D9" s="6" t="s">
        <v>172</v>
      </c>
      <c r="E9" s="6" t="s">
        <v>318</v>
      </c>
      <c r="F9" s="6" t="s">
        <v>319</v>
      </c>
      <c r="G9" s="6"/>
      <c r="H9" s="6" t="s">
        <v>28</v>
      </c>
      <c r="I9" s="6"/>
    </row>
    <row r="10">
      <c r="A10" s="6" t="s">
        <v>320</v>
      </c>
      <c r="B10" s="6" t="s">
        <v>64</v>
      </c>
      <c r="C10" s="6" t="s">
        <v>321</v>
      </c>
      <c r="D10" s="6" t="s">
        <v>322</v>
      </c>
      <c r="E10" s="6" t="s">
        <v>323</v>
      </c>
      <c r="F10" s="6" t="s">
        <v>324</v>
      </c>
      <c r="G10" s="6"/>
      <c r="H10" s="6" t="s">
        <v>28</v>
      </c>
      <c r="I10" s="6"/>
    </row>
    <row r="11">
      <c r="A11" s="6" t="s">
        <v>325</v>
      </c>
      <c r="B11" s="6" t="s">
        <v>64</v>
      </c>
      <c r="C11" s="6" t="s">
        <v>326</v>
      </c>
      <c r="D11" s="6" t="s">
        <v>327</v>
      </c>
      <c r="E11" s="6" t="s">
        <v>328</v>
      </c>
      <c r="F11" s="6" t="s">
        <v>329</v>
      </c>
      <c r="G11" s="6"/>
      <c r="H11" s="6" t="s">
        <v>28</v>
      </c>
      <c r="I11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H2:H11">
    <cfRule type="expression" dxfId="4" priority="1">
      <formula>OR(H2="Done",H2="Mitigated")</formula>
    </cfRule>
  </conditionalFormatting>
  <conditionalFormatting sqref="H2:H11">
    <cfRule type="expression" dxfId="5" priority="2">
      <formula>H2="Blocked"</formula>
    </cfRule>
  </conditionalFormatting>
  <conditionalFormatting sqref="H2:H11">
    <cfRule type="expression" dxfId="6" priority="3">
      <formula>H2="In Progress"</formula>
    </cfRule>
  </conditionalFormatting>
  <dataValidations>
    <dataValidation type="list" allowBlank="1" sqref="H2:H11">
      <formula1>Lists!$A$2:$A$6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4" width="14.0"/>
    <col customWidth="1" min="5" max="26" width="8.63"/>
  </cols>
  <sheetData>
    <row r="1">
      <c r="A1" s="9" t="s">
        <v>21</v>
      </c>
      <c r="B1" s="9" t="s">
        <v>75</v>
      </c>
      <c r="C1" s="9" t="s">
        <v>255</v>
      </c>
      <c r="D1" s="9" t="s">
        <v>256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0" t="s">
        <v>28</v>
      </c>
      <c r="B2" s="10" t="s">
        <v>330</v>
      </c>
      <c r="C2" s="10" t="s">
        <v>330</v>
      </c>
      <c r="D2" s="10" t="s">
        <v>80</v>
      </c>
    </row>
    <row r="3">
      <c r="A3" s="10" t="s">
        <v>331</v>
      </c>
      <c r="B3" s="10" t="s">
        <v>80</v>
      </c>
      <c r="C3" s="10" t="s">
        <v>80</v>
      </c>
      <c r="D3" s="10" t="s">
        <v>90</v>
      </c>
    </row>
    <row r="4">
      <c r="A4" s="10" t="s">
        <v>332</v>
      </c>
      <c r="B4" s="10" t="s">
        <v>90</v>
      </c>
      <c r="C4" s="10" t="s">
        <v>90</v>
      </c>
      <c r="D4" s="10" t="s">
        <v>333</v>
      </c>
    </row>
    <row r="5">
      <c r="A5" s="10" t="s">
        <v>334</v>
      </c>
      <c r="B5" s="10" t="s">
        <v>333</v>
      </c>
      <c r="C5" s="10" t="s">
        <v>333</v>
      </c>
      <c r="D5" s="10" t="s">
        <v>335</v>
      </c>
    </row>
    <row r="6">
      <c r="A6" s="10" t="s">
        <v>336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4.0"/>
    <col customWidth="1" min="2" max="2" width="48.0"/>
    <col customWidth="1" min="3" max="3" width="90.0"/>
    <col customWidth="1" min="4" max="26" width="8.63"/>
  </cols>
  <sheetData>
    <row r="1">
      <c r="A1" s="7" t="s">
        <v>337</v>
      </c>
      <c r="B1" s="7" t="s">
        <v>338</v>
      </c>
      <c r="C1" s="7" t="s">
        <v>339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6" t="s">
        <v>340</v>
      </c>
      <c r="B2" s="6" t="s">
        <v>341</v>
      </c>
      <c r="C2" s="6" t="s">
        <v>342</v>
      </c>
    </row>
    <row r="3">
      <c r="A3" s="6" t="s">
        <v>343</v>
      </c>
      <c r="B3" s="6" t="s">
        <v>344</v>
      </c>
      <c r="C3" s="6" t="s">
        <v>345</v>
      </c>
    </row>
    <row r="4">
      <c r="A4" s="6" t="s">
        <v>346</v>
      </c>
      <c r="B4" s="6" t="s">
        <v>347</v>
      </c>
      <c r="C4" s="6" t="s">
        <v>348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